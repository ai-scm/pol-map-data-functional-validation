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namedSheetViews/namedSheetView1.xml" ContentType="application/vnd.ms-excel.namedsheetviews+xml"/>
  <Override PartName="/xl/tables/table5.xml" ContentType="application/vnd.openxmlformats-officedocument.spreadsheetml.table+xml"/>
  <Override PartName="/xl/namedSheetViews/namedSheetView2.xml" ContentType="application/vnd.ms-excel.namedsheetviews+xml"/>
  <Override PartName="/xl/tables/table6.xml" ContentType="application/vnd.openxmlformats-officedocument.spreadsheetml.table+xml"/>
  <Override PartName="/xl/namedSheetViews/namedSheetView3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155E6FE5-BB08-4866-9176-F07F1788A858}" xr6:coauthVersionLast="47" xr6:coauthVersionMax="47" xr10:uidLastSave="{00000000-0000-0000-0000-000000000000}"/>
  <bookViews>
    <workbookView xWindow="0" yWindow="0" windowWidth="16384" windowHeight="8192" tabRatio="500" firstSheet="4" xr2:uid="{00000000-000D-0000-FFFF-FFFF00000000}"/>
  </bookViews>
  <sheets>
    <sheet name="Houndoc" sheetId="1" r:id="rId1"/>
    <sheet name="Avance" sheetId="7" r:id="rId2"/>
    <sheet name="Dashboard Quick" sheetId="4" r:id="rId3"/>
    <sheet name="Analisis Quick" sheetId="5" r:id="rId4"/>
    <sheet name="Datasets Quick" sheetId="6" r:id="rId5"/>
  </sheets>
  <definedNames>
    <definedName name="_xlnm._FilterDatabase" localSheetId="2" hidden="1">'Dashboard Quick'!$B$1:$M$102</definedName>
    <definedName name="_xlnm._FilterDatabase" localSheetId="3" hidden="1">'Analisis Quick'!$B$1:$G$328</definedName>
    <definedName name="_xlnm._FilterDatabase" localSheetId="4" hidden="1">'Datasets Quick'!$B$1:$G$178</definedName>
    <definedName name="DatosExternos_1" localSheetId="0" hidden="1">Houndoc!$B$1:$G$417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79" i="6" l="1"/>
  <c r="G56" i="6"/>
  <c r="G43" i="6"/>
  <c r="G5" i="6"/>
  <c r="G85" i="5"/>
  <c r="M36" i="4"/>
  <c r="B10" i="7"/>
  <c r="G178" i="6"/>
  <c r="G176" i="6"/>
  <c r="G165" i="6"/>
  <c r="G164" i="6"/>
  <c r="G163" i="6"/>
  <c r="G161" i="6"/>
  <c r="G160" i="6"/>
  <c r="G159" i="6"/>
  <c r="G157" i="6"/>
  <c r="G154" i="6"/>
  <c r="G153" i="6"/>
  <c r="G150" i="6"/>
  <c r="G147" i="6"/>
  <c r="G145" i="6"/>
  <c r="G144" i="6"/>
  <c r="G142" i="6"/>
  <c r="G139" i="6"/>
  <c r="G137" i="6"/>
  <c r="G136" i="6"/>
  <c r="G135" i="6"/>
  <c r="G129" i="6"/>
  <c r="G124" i="6"/>
  <c r="G121" i="6"/>
  <c r="G120" i="6"/>
  <c r="G118" i="6"/>
  <c r="G112" i="6"/>
  <c r="G111" i="6"/>
  <c r="G108" i="6"/>
  <c r="G106" i="6"/>
  <c r="G104" i="6"/>
  <c r="G103" i="6"/>
  <c r="G100" i="6"/>
  <c r="G97" i="6"/>
  <c r="G94" i="6"/>
  <c r="G92" i="6"/>
  <c r="G90" i="6"/>
  <c r="G87" i="6"/>
  <c r="G83" i="6"/>
  <c r="G81" i="6"/>
  <c r="G80" i="6"/>
  <c r="G77" i="6"/>
  <c r="G73" i="6"/>
  <c r="G70" i="6"/>
  <c r="G68" i="6"/>
  <c r="G67" i="6"/>
  <c r="G65" i="6"/>
  <c r="G62" i="6"/>
  <c r="G60" i="6"/>
  <c r="G59" i="6"/>
  <c r="G58" i="6"/>
  <c r="G57" i="6"/>
  <c r="G50" i="6"/>
  <c r="G49" i="6"/>
  <c r="G40" i="6"/>
  <c r="G37" i="6"/>
  <c r="G36" i="6"/>
  <c r="G34" i="6"/>
  <c r="G27" i="6"/>
  <c r="G23" i="6"/>
  <c r="G21" i="6"/>
  <c r="G19" i="6"/>
  <c r="G17" i="6"/>
  <c r="G16" i="6"/>
  <c r="G14" i="6"/>
  <c r="G11" i="6"/>
  <c r="G8" i="6"/>
  <c r="G6" i="6"/>
  <c r="G3" i="6"/>
  <c r="G328" i="5"/>
  <c r="G326" i="5"/>
  <c r="G324" i="5"/>
  <c r="G323" i="5"/>
  <c r="G319" i="5"/>
  <c r="G317" i="5"/>
  <c r="G308" i="5"/>
  <c r="G303" i="5"/>
  <c r="G302" i="5"/>
  <c r="G295" i="5"/>
  <c r="G280" i="5"/>
  <c r="G279" i="5"/>
  <c r="G275" i="5"/>
  <c r="G274" i="5"/>
  <c r="G263" i="5"/>
  <c r="G256" i="5"/>
  <c r="G251" i="5"/>
  <c r="G236" i="5"/>
  <c r="G234" i="5"/>
  <c r="G200" i="5"/>
  <c r="G190" i="5"/>
  <c r="G185" i="5"/>
  <c r="G177" i="5"/>
  <c r="G174" i="5"/>
  <c r="G172" i="5"/>
  <c r="G167" i="5"/>
  <c r="G165" i="5"/>
  <c r="G162" i="5"/>
  <c r="G161" i="5"/>
  <c r="G160" i="5"/>
  <c r="G156" i="5"/>
  <c r="G153" i="5"/>
  <c r="G150" i="5"/>
  <c r="G147" i="5"/>
  <c r="G135" i="5"/>
  <c r="G117" i="5"/>
  <c r="G107" i="5"/>
  <c r="G102" i="5"/>
  <c r="G97" i="5"/>
  <c r="G87" i="5"/>
  <c r="G83" i="5"/>
  <c r="G76" i="5"/>
  <c r="G73" i="5"/>
  <c r="G72" i="5"/>
  <c r="G68" i="5"/>
  <c r="G64" i="5"/>
  <c r="G59" i="5"/>
  <c r="G48" i="5"/>
  <c r="G46" i="5"/>
  <c r="G44" i="5"/>
  <c r="G39" i="5"/>
  <c r="G38" i="5"/>
  <c r="G32" i="5"/>
  <c r="G28" i="5"/>
  <c r="G16" i="5"/>
  <c r="G5" i="5"/>
  <c r="G327" i="5"/>
  <c r="G325" i="5"/>
  <c r="G322" i="5"/>
  <c r="G320" i="5"/>
  <c r="G318" i="5"/>
  <c r="G316" i="5"/>
  <c r="G315" i="5"/>
  <c r="G314" i="5"/>
  <c r="G313" i="5"/>
  <c r="G312" i="5"/>
  <c r="G311" i="5"/>
  <c r="G310" i="5"/>
  <c r="G307" i="5"/>
  <c r="G306" i="5"/>
  <c r="G304" i="5"/>
  <c r="G301" i="5"/>
  <c r="G300" i="5"/>
  <c r="G299" i="5"/>
  <c r="G297" i="5"/>
  <c r="G294" i="5"/>
  <c r="G293" i="5"/>
  <c r="G292" i="5"/>
  <c r="G291" i="5"/>
  <c r="G289" i="5"/>
  <c r="G288" i="5"/>
  <c r="G287" i="5"/>
  <c r="G286" i="5"/>
  <c r="G285" i="5"/>
  <c r="G284" i="5"/>
  <c r="G283" i="5"/>
  <c r="G282" i="5"/>
  <c r="G281" i="5"/>
  <c r="G277" i="5"/>
  <c r="G273" i="5"/>
  <c r="G272" i="5"/>
  <c r="G271" i="5"/>
  <c r="G270" i="5"/>
  <c r="G269" i="5"/>
  <c r="G268" i="5"/>
  <c r="G266" i="5"/>
  <c r="G265" i="5"/>
  <c r="G264" i="5"/>
  <c r="G262" i="5"/>
  <c r="G261" i="5"/>
  <c r="G259" i="5"/>
  <c r="G258" i="5"/>
  <c r="G257" i="5"/>
  <c r="G255" i="5"/>
  <c r="G254" i="5"/>
  <c r="G252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5" i="5"/>
  <c r="G233" i="5"/>
  <c r="G232" i="5"/>
  <c r="G231" i="5"/>
  <c r="G230" i="5"/>
  <c r="G228" i="5"/>
  <c r="G227" i="5"/>
  <c r="G225" i="5"/>
  <c r="G223" i="5"/>
  <c r="G222" i="5"/>
  <c r="G220" i="5"/>
  <c r="G216" i="5"/>
  <c r="G215" i="5"/>
  <c r="G213" i="5"/>
  <c r="G212" i="5"/>
  <c r="G211" i="5"/>
  <c r="G210" i="5"/>
  <c r="G209" i="5"/>
  <c r="G208" i="5"/>
  <c r="G207" i="5"/>
  <c r="G206" i="5"/>
  <c r="G205" i="5"/>
  <c r="G204" i="5"/>
  <c r="G202" i="5"/>
  <c r="G201" i="5"/>
  <c r="G199" i="5"/>
  <c r="G198" i="5"/>
  <c r="G197" i="5"/>
  <c r="G196" i="5"/>
  <c r="G195" i="5"/>
  <c r="G194" i="5"/>
  <c r="G193" i="5"/>
  <c r="G192" i="5"/>
  <c r="G191" i="5"/>
  <c r="G186" i="5"/>
  <c r="G183" i="5"/>
  <c r="G182" i="5"/>
  <c r="G181" i="5"/>
  <c r="G180" i="5"/>
  <c r="G179" i="5"/>
  <c r="G178" i="5"/>
  <c r="G176" i="5"/>
  <c r="G173" i="5"/>
  <c r="G170" i="5"/>
  <c r="G169" i="5"/>
  <c r="G168" i="5"/>
  <c r="G166" i="5"/>
  <c r="G164" i="5"/>
  <c r="G163" i="5"/>
  <c r="G159" i="5"/>
  <c r="G157" i="5"/>
  <c r="G155" i="5"/>
  <c r="G154" i="5"/>
  <c r="G151" i="5"/>
  <c r="G149" i="5"/>
  <c r="G148" i="5"/>
  <c r="G146" i="5"/>
  <c r="G145" i="5"/>
  <c r="G144" i="5"/>
  <c r="G142" i="5"/>
  <c r="G141" i="5"/>
  <c r="G140" i="5"/>
  <c r="G138" i="5"/>
  <c r="G137" i="5"/>
  <c r="G136" i="5"/>
  <c r="G134" i="5"/>
  <c r="G133" i="5"/>
  <c r="G132" i="5"/>
  <c r="G131" i="5"/>
  <c r="G130" i="5"/>
  <c r="G129" i="5"/>
  <c r="G128" i="5"/>
  <c r="G126" i="5"/>
  <c r="G125" i="5"/>
  <c r="G122" i="5"/>
  <c r="G121" i="5"/>
  <c r="G120" i="5"/>
  <c r="G119" i="5"/>
  <c r="G118" i="5"/>
  <c r="G116" i="5"/>
  <c r="G115" i="5"/>
  <c r="G113" i="5"/>
  <c r="G112" i="5"/>
  <c r="G111" i="5"/>
  <c r="G110" i="5"/>
  <c r="G109" i="5"/>
  <c r="G108" i="5"/>
  <c r="G106" i="5"/>
  <c r="G104" i="5"/>
  <c r="G101" i="5"/>
  <c r="G100" i="5"/>
  <c r="G98" i="5"/>
  <c r="G96" i="5"/>
  <c r="G95" i="5"/>
  <c r="G94" i="5"/>
  <c r="G93" i="5"/>
  <c r="G92" i="5"/>
  <c r="G91" i="5"/>
  <c r="G89" i="5"/>
  <c r="G88" i="5"/>
  <c r="G86" i="5"/>
  <c r="G82" i="5"/>
  <c r="G81" i="5"/>
  <c r="G80" i="5"/>
  <c r="G79" i="5"/>
  <c r="G78" i="5"/>
  <c r="G77" i="5"/>
  <c r="G74" i="5"/>
  <c r="G71" i="5"/>
  <c r="G70" i="5"/>
  <c r="G69" i="5"/>
  <c r="G67" i="5"/>
  <c r="G66" i="5"/>
  <c r="G65" i="5"/>
  <c r="G63" i="5"/>
  <c r="G62" i="5"/>
  <c r="G61" i="5"/>
  <c r="G60" i="5"/>
  <c r="G58" i="5"/>
  <c r="G57" i="5"/>
  <c r="G55" i="5"/>
  <c r="G54" i="5"/>
  <c r="G53" i="5"/>
  <c r="G52" i="5"/>
  <c r="G51" i="5"/>
  <c r="G50" i="5"/>
  <c r="G49" i="5"/>
  <c r="G47" i="5"/>
  <c r="G45" i="5"/>
  <c r="G43" i="5"/>
  <c r="G41" i="5"/>
  <c r="G40" i="5"/>
  <c r="G37" i="5"/>
  <c r="G36" i="5"/>
  <c r="G35" i="5"/>
  <c r="G34" i="5"/>
  <c r="G33" i="5"/>
  <c r="G30" i="5"/>
  <c r="G29" i="5"/>
  <c r="G27" i="5"/>
  <c r="G26" i="5"/>
  <c r="G25" i="5"/>
  <c r="G24" i="5"/>
  <c r="G23" i="5"/>
  <c r="G22" i="5"/>
  <c r="G21" i="5"/>
  <c r="G20" i="5"/>
  <c r="G19" i="5"/>
  <c r="G18" i="5"/>
  <c r="G17" i="5"/>
  <c r="G15" i="5"/>
  <c r="G12" i="5"/>
  <c r="G11" i="5"/>
  <c r="G10" i="5"/>
  <c r="G9" i="5"/>
  <c r="G8" i="5"/>
  <c r="G7" i="5"/>
  <c r="G6" i="5"/>
  <c r="G4" i="5"/>
  <c r="G3" i="5"/>
  <c r="M12" i="4"/>
  <c r="M3" i="4"/>
  <c r="M2" i="4"/>
  <c r="M100" i="4"/>
  <c r="M99" i="4"/>
  <c r="M98" i="4"/>
  <c r="M95" i="4"/>
  <c r="M93" i="4"/>
  <c r="M92" i="4"/>
  <c r="M90" i="4"/>
  <c r="M89" i="4"/>
  <c r="M87" i="4"/>
  <c r="M86" i="4"/>
  <c r="M85" i="4"/>
  <c r="M82" i="4"/>
  <c r="M81" i="4"/>
  <c r="M79" i="4"/>
  <c r="M74" i="4"/>
  <c r="M73" i="4"/>
  <c r="M71" i="4"/>
  <c r="M69" i="4"/>
  <c r="M65" i="4"/>
  <c r="M64" i="4"/>
  <c r="M63" i="4"/>
  <c r="M62" i="4"/>
  <c r="M60" i="4"/>
  <c r="M55" i="4"/>
  <c r="M54" i="4"/>
  <c r="M49" i="4"/>
  <c r="M47" i="4"/>
  <c r="M43" i="4"/>
  <c r="M40" i="4"/>
  <c r="M39" i="4"/>
  <c r="M38" i="4"/>
  <c r="M37" i="4"/>
  <c r="M34" i="4"/>
  <c r="M31" i="4"/>
  <c r="M25" i="4"/>
  <c r="M23" i="4"/>
  <c r="M22" i="4"/>
  <c r="M21" i="4"/>
  <c r="M20" i="4"/>
  <c r="M18" i="4"/>
  <c r="M17" i="4"/>
  <c r="M15" i="4"/>
  <c r="M14" i="4"/>
  <c r="M13" i="4"/>
  <c r="M11" i="4"/>
  <c r="M7" i="4"/>
  <c r="M6" i="4"/>
  <c r="M5" i="4"/>
  <c r="A14" i="7"/>
  <c r="B14" i="7"/>
  <c r="C14" i="7"/>
  <c r="D14" i="7"/>
  <c r="E14" i="7"/>
  <c r="A15" i="7"/>
  <c r="B15" i="7"/>
  <c r="C15" i="7"/>
  <c r="D15" i="7"/>
  <c r="E15" i="7"/>
  <c r="A16" i="7"/>
  <c r="B16" i="7"/>
  <c r="C16" i="7"/>
  <c r="D16" i="7"/>
  <c r="E16" i="7"/>
  <c r="A13" i="7"/>
  <c r="B13" i="7"/>
  <c r="C5" i="7"/>
  <c r="F6" i="7"/>
  <c r="F7" i="7"/>
  <c r="F5" i="7"/>
  <c r="F8" i="7" s="1"/>
  <c r="C7" i="7"/>
  <c r="C6" i="7"/>
  <c r="B7" i="7"/>
  <c r="D7" i="7" s="1"/>
  <c r="B6" i="7"/>
  <c r="D6" i="7" s="1"/>
  <c r="B5" i="7"/>
  <c r="F16" i="7" l="1"/>
  <c r="F15" i="7"/>
  <c r="F14" i="7"/>
  <c r="F13" i="7"/>
  <c r="B8" i="7"/>
  <c r="E5" i="7"/>
  <c r="D5" i="7"/>
  <c r="D8" i="7" s="1"/>
  <c r="C8" i="7"/>
  <c r="E8" i="7" s="1"/>
  <c r="E6" i="7"/>
  <c r="E7" i="7"/>
  <c r="C13" i="7"/>
  <c r="D13" i="7"/>
  <c r="E13" i="7"/>
  <c r="I16" i="7" s="1"/>
  <c r="H13" i="7" l="1"/>
  <c r="H16" i="7"/>
  <c r="H15" i="7"/>
  <c r="H14" i="7"/>
  <c r="G13" i="7"/>
  <c r="G16" i="7"/>
  <c r="G15" i="7"/>
  <c r="G14" i="7"/>
  <c r="I14" i="7"/>
  <c r="I15" i="7"/>
  <c r="I1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30047-ECBA-44D2-B77A-517CDE637DE0}" keepAlive="1" name="Query - tblAnalisis" description="Conexión a la consulta 'tblAnalisis' en el libro." type="5" refreshedVersion="0" background="1">
    <dbPr connection="Provider=Microsoft.Mashup.OleDb.1;Data Source=$Workbook$;Location=tblAnalisis;Extended Properties=&quot;&quot;" command="SELECT * FROM [tblAnalisis]"/>
  </connection>
  <connection id="2" xr16:uid="{5F1EC1CA-C47D-4029-B0F0-11F20EFFFC14}" keepAlive="1" name="Query - tblDashboards" description="Conexión a la consulta 'tblDashboards' en el libro." type="5" refreshedVersion="0" background="1">
    <dbPr connection="Provider=Microsoft.Mashup.OleDb.1;Data Source=$Workbook$;Location=tblDashboards;Extended Properties=&quot;&quot;" command="SELECT * FROM [tblDashboards]"/>
  </connection>
  <connection id="3" xr16:uid="{83EB1A26-DA8F-42FD-A3C0-3FEA19A2F724}" keepAlive="1" name="Query - tblDashboards2" description="Conexión a la consulta 'tblDashboards2' en el libro." type="5" refreshedVersion="0" background="1">
    <dbPr connection="Provider=Microsoft.Mashup.OleDb.1;Data Source=$Workbook$;Location=tblDashboards2;Extended Properties=&quot;&quot;" command="SELECT * FROM [tblDashboards2]"/>
  </connection>
  <connection id="4" xr16:uid="{90852004-BF0E-4090-A1F2-264A4196DAA9}" keepAlive="1" name="Query - tblDatasets" description="Conexión a la consulta 'tblDatasets' en el libro." type="5" refreshedVersion="0" background="1">
    <dbPr connection="Provider=Microsoft.Mashup.OleDb.1;Data Source=$Workbook$;Location=tblDatasets;Extended Properties=&quot;&quot;" command="SELECT * FROM [tblDatasets]"/>
  </connection>
</connections>
</file>

<file path=xl/sharedStrings.xml><?xml version="1.0" encoding="utf-8"?>
<sst xmlns="http://schemas.openxmlformats.org/spreadsheetml/2006/main" count="6144" uniqueCount="2570">
  <si>
    <t>Submodulo</t>
  </si>
  <si>
    <t>Modulo2</t>
  </si>
  <si>
    <t>ruta_menu</t>
  </si>
  <si>
    <t>url_portal</t>
  </si>
  <si>
    <t>id_portal</t>
  </si>
  <si>
    <t>id_quicksight</t>
  </si>
  <si>
    <t>Nombre de Dashboard en Qucik</t>
  </si>
  <si>
    <t>Nombre Analisis Quick</t>
  </si>
  <si>
    <t>Origen de Datos</t>
  </si>
  <si>
    <t>Source</t>
  </si>
  <si>
    <t>actualizado?</t>
  </si>
  <si>
    <t>duplicado</t>
  </si>
  <si>
    <t>Auditoria uso ExpertoPOL</t>
  </si>
  <si>
    <t>ExpertoPOL</t>
  </si>
  <si>
    <t>ExpertoPOL &gt; Auditoria uso ExpertoPOL</t>
  </si>
  <si>
    <t>https://app.ia.policia.gov.co/dashboards/dashboard?idP=9a85ecc3-9f09-4d03-82e9-35788b503c5e</t>
  </si>
  <si>
    <t>9a85ecc3-9f09-4d03-82e9-35788b503c5e</t>
  </si>
  <si>
    <t>d3efbe19-bed1-45b3-9d46-779b85741700</t>
  </si>
  <si>
    <t>auditoria_expertoPOL</t>
  </si>
  <si>
    <t>auditoria_expertopol_v2</t>
  </si>
  <si>
    <t>auditoria_expertopol</t>
  </si>
  <si>
    <t>Archivos base de conocimiento</t>
  </si>
  <si>
    <t>ExpertoPOL &gt; Archivos base de conocimiento</t>
  </si>
  <si>
    <t>https://app.ia.policia.gov.co/dashboards/dashboard?idP=ecfcd71e-4981-457c-a922-809c7cd7ee10</t>
  </si>
  <si>
    <t>ecfcd71e-4981-457c-a922-809c7cd7ee10</t>
  </si>
  <si>
    <t>e10005c5-a7d9-4097-833e-b8e6bb905413</t>
  </si>
  <si>
    <t>pon-prod-expertopol-inventory-dashboard</t>
  </si>
  <si>
    <t>pon-prod-expertopol-document-inventory</t>
  </si>
  <si>
    <t>01. Boletín Panorama Nacional v2</t>
  </si>
  <si>
    <t>Código Nacional de Seguridad y Convivencia</t>
  </si>
  <si>
    <t>Código Nacional de Seguridad y Convivencia &gt; 01. Boletín Panorama Nacional v2</t>
  </si>
  <si>
    <t>https://app.ia.policia.gov.co/dashboards/dashboard?idP=1efa30a2-2261-4c5a-8d6b-09ad2bf1ef33</t>
  </si>
  <si>
    <t>1efa30a2-2261-4c5a-8d6b-09ad2bf1ef33</t>
  </si>
  <si>
    <t>c5162f42-19fe-4481-9f18-d041c1de13bf</t>
  </si>
  <si>
    <t>pon-prod-cnsc-boletin-panorama-nacional</t>
  </si>
  <si>
    <t>pon-prod-cnsc-boletin-director-general</t>
  </si>
  <si>
    <t>boletin z1_v2, SeguimientoMedidaCorrectiva, vistas_reunion_rnmc, SolicitudMedida, MediacionInvitacion, MediacionReunion, reuniones_situ_v2</t>
  </si>
  <si>
    <t>Gran Cantidad de DataSets</t>
  </si>
  <si>
    <t>Color</t>
  </si>
  <si>
    <t>Significado</t>
  </si>
  <si>
    <t>02. Boletín Director General</t>
  </si>
  <si>
    <t>Código Nacional de Seguridad y Convivencia &gt; 02. Boletín Director General</t>
  </si>
  <si>
    <t>https://app.ia.policia.gov.co/dashboards/dashboard?idP=0ba2c2db-255c-406c-98bc-822a5473ed46</t>
  </si>
  <si>
    <t>0ba2c2db-255c-406c-98bc-822a5473ed46</t>
  </si>
  <si>
    <t>95437b38-4206-49db-afac-5daf763a49eb</t>
  </si>
  <si>
    <t>Atención de comportamientos contrarios a la convivencia 
Periodo del 2024-01-01 00:00  al 2026-09-29 23:59</t>
  </si>
  <si>
    <t xml:space="preserve">ROJO </t>
  </si>
  <si>
    <t>No funciona /no data</t>
  </si>
  <si>
    <t>03. Informe General Mediación Policial</t>
  </si>
  <si>
    <t>Código Nacional de Seguridad y Convivencia &gt; 03. Informe General Mediación Policial</t>
  </si>
  <si>
    <t>https://app.ia.policia.gov.co/dashboards/dashboard?idP=28bd25b7-d6e1-4d5f-b3ed-d6142ed7b747</t>
  </si>
  <si>
    <t>28bd25b7-d6e1-4d5f-b3ed-d6142ed7b747</t>
  </si>
  <si>
    <t>5c257ab6-b97c-4a5d-b68e-0589fb29c08a</t>
  </si>
  <si>
    <t>pon-prod-cnsc-informe-general-mediacion-policial</t>
  </si>
  <si>
    <t>SolicitudMedida, MediacionCausa, MediacionPersona, MediacionAsistencia, mediacionacuerdo2_0, MediacionMotivo, MediacionInvitacion, MediacionReunion, vistas_reunion_rnmc, mediacionseguimiento2_0, vista_acuerdos_con_y_sin_seguimiento</t>
  </si>
  <si>
    <t>Estadística Nacional</t>
  </si>
  <si>
    <t>AZUL</t>
  </si>
  <si>
    <t>no data Cliente</t>
  </si>
  <si>
    <t>04. Listado de Mediaciones</t>
  </si>
  <si>
    <t>Código Nacional de Seguridad y Convivencia &gt; 04. Listado de Mediaciones</t>
  </si>
  <si>
    <t>https://app.ia.policia.gov.co/dashboards/dashboard?idP=c0e41924-3426-4ad1-976d-739782df32de</t>
  </si>
  <si>
    <t>c0e41924-3426-4ad1-976d-739782df32de</t>
  </si>
  <si>
    <t>3cdb67b1-bf2c-40b8-ba50-617c99d920bc</t>
  </si>
  <si>
    <t>pon-prod-cnsc-datos-mediaciones</t>
  </si>
  <si>
    <t>datos_descargar_mediacion_version_2</t>
  </si>
  <si>
    <t xml:space="preserve"> </t>
  </si>
  <si>
    <t>NARANJA</t>
  </si>
  <si>
    <t>Seguimiento Activo</t>
  </si>
  <si>
    <t>05. Actores potenciales</t>
  </si>
  <si>
    <t>Código Nacional de Seguridad y Convivencia &gt; 05. Actores potenciales</t>
  </si>
  <si>
    <t>https://app.ia.policia.gov.co/dashboards/dashboard?idP=9f64c3dc-70a6-4efe-9338-84f56ca5a032</t>
  </si>
  <si>
    <t>9f64c3dc-70a6-4efe-9338-84f56ca5a032</t>
  </si>
  <si>
    <t>aa8f5fff-e711-4eab-8756-269e2a5ef6fe</t>
  </si>
  <si>
    <t>pon-prod-cnsc-actores-potenciales</t>
  </si>
  <si>
    <t>Actores potenciales</t>
  </si>
  <si>
    <t>actores_potenciales_version_2.1</t>
  </si>
  <si>
    <t>AMARILLO</t>
  </si>
  <si>
    <t>Desactualizado</t>
  </si>
  <si>
    <t>06. Estadística Nacional</t>
  </si>
  <si>
    <t>Código Nacional de Seguridad y Convivencia &gt; 06. Estadística Nacional</t>
  </si>
  <si>
    <t>https://app.ia.policia.gov.co/dashboards/dashboard?idP=93ab79bb-5ff2-4c94-be0f-ffc4b35332b8</t>
  </si>
  <si>
    <t>93ab79bb-5ff2-4c94-be0f-ffc4b35332b8</t>
  </si>
  <si>
    <t>cb3a75bc-cb06-4222-a989-34a52288703b</t>
  </si>
  <si>
    <t>pon-prod-cnsc-estadistica-nacional</t>
  </si>
  <si>
    <t>MediacionAsistencia, MediacionAcuerdo, MediacionInvitacion, mediacion_persona_2, solicitud_medida_2, MediacionReunion, mediacion_motivo_2, MediacionSeguimineto</t>
  </si>
  <si>
    <t xml:space="preserve">MEDIACIONES POLICÍALES ATENDIDAS
</t>
  </si>
  <si>
    <t>CAFE</t>
  </si>
  <si>
    <t>Posible eliminar Dashboard, Analisis, Dataset por costos</t>
  </si>
  <si>
    <t>Actores potenciales - MEBUC</t>
  </si>
  <si>
    <t>Código Nacional de Seguridad y Convivencia &gt; Actores potenciales - MEBUC</t>
  </si>
  <si>
    <t>https://app.ia.policia.gov.co/dashboards/dashboard?idP=93c8602f-7629-452b-a455-8914c97fff4d</t>
  </si>
  <si>
    <t>93c8602f-7629-452b-a455-8914c97fff4d</t>
  </si>
  <si>
    <t>ELIMINADOS HOUNDOC</t>
  </si>
  <si>
    <t>Boletín Director General - MEBUC</t>
  </si>
  <si>
    <t>Código Nacional de Seguridad y Convivencia &gt; Boletín Director General - MEBUC</t>
  </si>
  <si>
    <t>https://app.ia.policia.gov.co/dashboards/dashboard?idP=b0055a30-1fe5-4c99-9af5-d1a177dbc9b8</t>
  </si>
  <si>
    <t>b0055a30-1fe5-4c99-9af5-d1a177dbc9b8</t>
  </si>
  <si>
    <t>boletin z1_v2, SeguimientoMedidaCorrectiva, SolicitudMedida, MediacionInvitacion, MediacionReunion, reuniones_situ_v2</t>
  </si>
  <si>
    <t>Estadística Nacional - MEBUC</t>
  </si>
  <si>
    <t>Código Nacional de Seguridad y Convivencia &gt; Estadística Nacional - MEBUC</t>
  </si>
  <si>
    <t>https://app.ia.policia.gov.co/dashboards/dashboard?idP=eedf8e57-8c29-4a62-8997-3d1309932d1b</t>
  </si>
  <si>
    <t>eedf8e57-8c29-4a62-8997-3d1309932d1b</t>
  </si>
  <si>
    <t>MediacionCausa, MediacionAsistencia, MediacionAcuerdo, MediacionInvitacion, mediacion_persona_2, solicitud_medida_2, MediacionReunion, mediacion_motivo_2, MediacionSeguimineto</t>
  </si>
  <si>
    <t>Estadística Nacional - MEVAL</t>
  </si>
  <si>
    <t>Código Nacional de Seguridad y Convivencia &gt; Estadística Nacional - MEVAL</t>
  </si>
  <si>
    <t>https://app.ia.policia.gov.co/dashboards/dashboard?idP=ef0a8870-6396-4cc9-9244-0c44d9cec903</t>
  </si>
  <si>
    <t>ef0a8870-6396-4cc9-9244-0c44d9cec903</t>
  </si>
  <si>
    <t>Gestión para la planeación y seguimiento al comité de vigilancia</t>
  </si>
  <si>
    <t>Gestión para la planeación y seguimiento al comité de vigilancia &gt; Gestión para la planeación y seguimiento al comité de vigilancia</t>
  </si>
  <si>
    <t>https://app.ia.policia.gov.co/dashboards/dashboard?idP=91342635-99a7-4f4e-b204-fb9de2837877</t>
  </si>
  <si>
    <t>91342635-99a7-4f4e-b204-fb9de2837877</t>
  </si>
  <si>
    <t>19a0c4ae-663a-4b56-a1b8-c959d4e03be9</t>
  </si>
  <si>
    <t>pon-prod-gpscv-gestion-planeacion-seguimiento</t>
  </si>
  <si>
    <t>usr_disec.v_gescov_ddhh, rawvm_planes_preventivos, gescov</t>
  </si>
  <si>
    <t>01. Comportamiento Delictivo</t>
  </si>
  <si>
    <t>Información Estadística Delictiva</t>
  </si>
  <si>
    <t>Información Estadística Delictiva &gt; 01. Comportamiento Delictivo</t>
  </si>
  <si>
    <t>https://app.ia.policia.gov.co/dashboards/dashboard?idP=7e08873d-fd63-43da-b43d-8142540c8cae</t>
  </si>
  <si>
    <t>7e08873d-fd63-43da-b43d-8142540c8cae</t>
  </si>
  <si>
    <t>4042ee3f-cfb4-4e44-9b10-5052338a1750</t>
  </si>
  <si>
    <t>pon-prod-ied-comportamiento-delictivo</t>
  </si>
  <si>
    <t>pon-prod-ied-comportamiento-delictivo version 2.1</t>
  </si>
  <si>
    <t>mdp_limpio_v2.1</t>
  </si>
  <si>
    <t>tabla_version_2</t>
  </si>
  <si>
    <t xml:space="preserve">Comportamiento Delictivo
</t>
  </si>
  <si>
    <t>02. Comparativo Delictivo (Datos crudos)</t>
  </si>
  <si>
    <t>Información Estadística Delictiva &gt; 02. Comparativo Delictivo (Datos crudos)</t>
  </si>
  <si>
    <t>https://app.ia.policia.gov.co/dashboards/dashboard?idP=96d25f8a-a936-463b-ba55-5c71aac905cf</t>
  </si>
  <si>
    <t>96d25f8a-a936-463b-ba55-5c71aac905cf</t>
  </si>
  <si>
    <t>9617666d-dfbb-4794-b388-689a4a627235</t>
  </si>
  <si>
    <t>pon-prod-ied-comparativo-delictivo</t>
  </si>
  <si>
    <t>vw_delitos_corregido_schema_temporal, Datos_poblacionales_ciudad</t>
  </si>
  <si>
    <t>03. Comparativo por años - Comportamiento Delictivo</t>
  </si>
  <si>
    <t>Información Estadística Delictiva &gt; 03. Comparativo por años - Comportamiento Delictivo</t>
  </si>
  <si>
    <t>https://app.ia.policia.gov.co/dashboards/dashboard?idP=00b52bfa-6564-4ca0-a8cf-20721877fb9d</t>
  </si>
  <si>
    <t>00b52bfa-6564-4ca0-a8cf-20721877fb9d</t>
  </si>
  <si>
    <t>45bc393a-09ce-4779-a641-4fca895c0864</t>
  </si>
  <si>
    <t>pon-prod-ied-comparativo-años-comportamiento-delictivo</t>
  </si>
  <si>
    <t>Comparativo por Años - Comportamiento Delictivo B</t>
  </si>
  <si>
    <t>04. Homicidios de Otros Dias</t>
  </si>
  <si>
    <t>Información Estadística Delictiva &gt; 04. Homicidios de Otros Dias</t>
  </si>
  <si>
    <t>https://app.ia.policia.gov.co/embedding/dd195f41-4979-45db-9438-1d0829bd6251</t>
  </si>
  <si>
    <t>dd195f41-4979-45db-9438-1d0829bd6251</t>
  </si>
  <si>
    <t>Sitio Externo</t>
  </si>
  <si>
    <t>Alerta de homicidios</t>
  </si>
  <si>
    <t>Información Estadística Delictiva &gt; Alerta de homicidios</t>
  </si>
  <si>
    <t>https://app.ia.policia.gov.co/dashboards/dashboard?idP=906c927b-56f1-484d-8567-4f9343a5d151</t>
  </si>
  <si>
    <t>906c927b-56f1-484d-8567-4f9343a5d151</t>
  </si>
  <si>
    <t>129ac44a-4d7e-4a45-8764-ac26e43b9f77</t>
  </si>
  <si>
    <t>tablero_homicidios</t>
  </si>
  <si>
    <t>tablero_homicidios analysis</t>
  </si>
  <si>
    <t>Alertas_homicidio</t>
  </si>
  <si>
    <t>Comparativo por años - Comportamiento Delictivo - MEPAS</t>
  </si>
  <si>
    <t>Información Estadística Delictiva &gt; Comparativo por años - Comportamiento Delictivo - MEPAS</t>
  </si>
  <si>
    <t>https://app.ia.policia.gov.co/dashboards/dashboard?idP=a393fb0f-6f31-4be3-83bc-946a44dbde22</t>
  </si>
  <si>
    <t>a393fb0f-6f31-4be3-83bc-946a44dbde22</t>
  </si>
  <si>
    <t>Comportamiento Delictivo - MEBUC</t>
  </si>
  <si>
    <t>Información Estadística Delictiva &gt; Comportamiento Delictivo - MEBUC</t>
  </si>
  <si>
    <t>https://app.ia.policia.gov.co/dashboards/dashboard?idP=ae75fcb3-2eae-4e2b-859e-29897a87afbc</t>
  </si>
  <si>
    <t>ae75fcb3-2eae-4e2b-859e-29897a87afbc</t>
  </si>
  <si>
    <t xml:space="preserve">Comportamiento Delictivo
</t>
  </si>
  <si>
    <t>Comportamiento Delictivo - MECUC</t>
  </si>
  <si>
    <t>Información Estadística Delictiva &gt; Comportamiento Delictivo - MECUC</t>
  </si>
  <si>
    <t>https://app.ia.policia.gov.co/dashboards/dashboard?idP=cc16e523-735a-43da-a668-d157fe2e3eb8</t>
  </si>
  <si>
    <t>cc16e523-735a-43da-a668-d157fe2e3eb8</t>
  </si>
  <si>
    <t>Comportamiento Delictivo - MEPER</t>
  </si>
  <si>
    <t>Información Estadística Delictiva &gt; Comportamiento Delictivo - MEPER</t>
  </si>
  <si>
    <t>https://app.ia.policia.gov.co/dashboards/dashboard?idP=cf3aa71e-78c1-43d8-a414-a908b0577d31</t>
  </si>
  <si>
    <t>cf3aa71e-78c1-43d8-a414-a908b0577d31</t>
  </si>
  <si>
    <t>01. Instrumento de Recolección de Información del Servicio de Policía</t>
  </si>
  <si>
    <t>Instrumento de Recolección de Información del Servicio de Policía</t>
  </si>
  <si>
    <t>Instrumento de Recolección de Información del Servicio de Policía &gt; 01. Instrumento de Recolección de Información del Servicio de Policía</t>
  </si>
  <si>
    <t>https://app.ia.policia.gov.co/dashboards/dashboard?idP=eda8bd09-2668-48f9-a5c2-504593fda809</t>
  </si>
  <si>
    <t>eda8bd09-2668-48f9-a5c2-504593fda809</t>
  </si>
  <si>
    <t>d0c44ebf-15e7-4c33-ac2f-f5fafea8ad23</t>
  </si>
  <si>
    <t>pon-prod-irisp-instrumento-recoleccion-informacion-sistema-policia</t>
  </si>
  <si>
    <t>irisp1_query</t>
  </si>
  <si>
    <t>Instrumento de Recolección de Información Del Servicio de Policía
Información de Factores Sociales y Comportamientos que Afectan la Convivencia</t>
  </si>
  <si>
    <t>Instrumento de Recolección de Información del Servicio de Policía - MEBUC</t>
  </si>
  <si>
    <t>Instrumento de Recolección de Información del Servicio de Policía &gt; Instrumento de Recolección de Información del Servicio de Policía - MEBUC</t>
  </si>
  <si>
    <t>https://app.ia.policia.gov.co/dashboards/dashboard?idP=b73f9f66-d597-4e49-89f6-ec9ae95e739c</t>
  </si>
  <si>
    <t>b73f9f66-d597-4e49-89f6-ec9ae95e739c</t>
  </si>
  <si>
    <t>Medidas de Protección Violencia Intrafamiliar (Gerencial)</t>
  </si>
  <si>
    <t>Medidas de Protección en Violencia de Género</t>
  </si>
  <si>
    <t>Medidas de Protección en Violencia de Género &gt; Medidas de Protección Violencia Intrafamiliar (Gerencial)</t>
  </si>
  <si>
    <t>https://app.ia.policia.gov.co/dashboards/dashboard?idP=b37a8807-93d6-4f3d-95c9-c0910638a7c1</t>
  </si>
  <si>
    <t>b37a8807-93d6-4f3d-95c9-c0910638a7c1</t>
  </si>
  <si>
    <t>2d0998eb-0b98-4b44-96dd-98e7bc6a96d2</t>
  </si>
  <si>
    <t>pon-prod-mpvg-medidas-proteccion-violencia-genero</t>
  </si>
  <si>
    <t>pon-prod-mpvg-medidas-proteccion-violencia-genero.V2</t>
  </si>
  <si>
    <t>medidas_autos_s3</t>
  </si>
  <si>
    <t>medidas-protección-s3</t>
  </si>
  <si>
    <t>Medidas de Protección Violencia Intrafamiliar (Operacional)</t>
  </si>
  <si>
    <t>Medidas de Protección en Violencia de Género &gt; Medidas de Protección Violencia Intrafamiliar (Operacional)</t>
  </si>
  <si>
    <t>https://app.ia.policia.gov.co/dashboards/dashboard?idP=521d0fd4-8782-444c-b24e-140b3b3e58a7</t>
  </si>
  <si>
    <t>521d0fd4-8782-444c-b24e-140b3b3e58a7</t>
  </si>
  <si>
    <t>e35a4fa7-7276-41e3-b6ce-09fd7effa0c7</t>
  </si>
  <si>
    <t>Medidas-protección-Momet-Operativo</t>
  </si>
  <si>
    <t>pon-prod-momep-operativo.V2</t>
  </si>
  <si>
    <t>MEDIDAS DE PROTECCIÓN VIOLENCIA INTRAFAMILIAR 
Estrategia de Atención a Mujer, Familia y Género</t>
  </si>
  <si>
    <t>Participación cívica</t>
  </si>
  <si>
    <t>Oferta de participación cívica</t>
  </si>
  <si>
    <t>Oferta de participación cívica &gt; Participación cívica</t>
  </si>
  <si>
    <t>https://app.ia.policia.gov.co/dashboards/dashboard?idP=345501ba-bc2c-4f83-8ae9-3e57aaa6244b</t>
  </si>
  <si>
    <t>345501ba-bc2c-4f83-8ae9-3e57aaa6244b</t>
  </si>
  <si>
    <t>6fc385fe-c879-4d88-baff-b64a1ea0f4e6</t>
  </si>
  <si>
    <t>pon-prod-sigco</t>
  </si>
  <si>
    <t>usr_sisec.sigco_campanias_edu, svgsigca_civica_mayores, svgsigca_civica_infa_juve, svgsigco_espacios, svgvista_frentes_con_descripcion, svgsigco_gestion_comunitaria, svgsigca_red_apo, svgraw_telepol_usr_sisec_sigco_encuentros_comunitarios, svgv_fortalecimiento_frentes, svgsigca_reunion_comunitaria, svgsigco_escolarizados</t>
  </si>
  <si>
    <t>01. Análisis de Pedidos de Emergencia Nacional</t>
  </si>
  <si>
    <t>Pedidos de Emergencia</t>
  </si>
  <si>
    <t>Pedidos de Emergencia &gt; 01. Análisis de Pedidos de Emergencia Nacional</t>
  </si>
  <si>
    <t>https://app.ia.policia.gov.co/dashboards/dashboard?idP=20768193-06f8-4b04-9766-35a451ae4af7</t>
  </si>
  <si>
    <t>20768193-06f8-4b04-9766-35a451ae4af7</t>
  </si>
  <si>
    <t>29b27773-aec1-418d-9681-2b339a786f75</t>
  </si>
  <si>
    <t>pon-prod-ae-analisis-pedidos-emergencia-nacional</t>
  </si>
  <si>
    <t>pon-prod-ae-analisis-pedidos-emergencia-nacionales</t>
  </si>
  <si>
    <t>pbx_cdr, svgllamada_autoupdate, svgpremier_one_date_formatted, svgv_pedido_atendido_consolidada, svgv_pedido, svgpedidos_por_motivo_secad_2018_al_2023, svgV_PEDIDO_ATENDIDO_SECAD, svgmdp_limpio_meval, svgV_PEDIDO_ATENDIDO_SECAD_MEBAR</t>
  </si>
  <si>
    <t xml:space="preserve"> Análisis de Pedidos de Emergencia Nacional</t>
  </si>
  <si>
    <t>02. Análisis de Pedidos de Emergencia Nacional JESEP</t>
  </si>
  <si>
    <t>Pedidos de Emergencia &gt; 02. Análisis de Pedidos de Emergencia Nacional JESEP</t>
  </si>
  <si>
    <t>https://app.ia.policia.gov.co/dashboards/dashboard?idP=63e26857-8e4c-4cf8-8d9c-c55dfb3fc2b5</t>
  </si>
  <si>
    <t>63e26857-8e4c-4cf8-8d9c-c55dfb3fc2b5</t>
  </si>
  <si>
    <t>b2e47b7e-ed31-48e4-9b40-fd646db1a0d9</t>
  </si>
  <si>
    <t>Analisis_pedidos_emergencia_JESEP</t>
  </si>
  <si>
    <t>pbx_cdr, svgpremier_one_date_formatted, svgv_pedido, svgpedidos_por_motivo_secad_2018_al_2023, svgllamada_autoupdate, svgV_PEDIDO_ATENDIDO_SECAD, svgmdp_limpio_meval, svgV_PEDIDO_ATENDIDO_SECAD_MEBAR</t>
  </si>
  <si>
    <t>02. Top de Pedidos Nacional MEBUC</t>
  </si>
  <si>
    <t>Pedidos de Emergencia &gt; 02. Top de Pedidos Nacional MEBUC</t>
  </si>
  <si>
    <t>https://app.ia.policia.gov.co/dashboards/dashboard?idP=1bc2b86a-3183-45de-844e-93c063acf415</t>
  </si>
  <si>
    <t>1bc2b86a-3183-45de-844e-93c063acf415</t>
  </si>
  <si>
    <t>fc90fd4d-718c-40bf-aaed-f9ce186d847d</t>
  </si>
  <si>
    <t>pon-prod-ae-top-pedidos-nacional</t>
  </si>
  <si>
    <t>Top de Pedidos Nacional</t>
  </si>
  <si>
    <t>09. Control de Ocupación</t>
  </si>
  <si>
    <t>Pedidos de Emergencia &gt;09. Control de Ocupación</t>
  </si>
  <si>
    <t>https://app.ia.policia.gov.co/dashboards/dashboard?idP=dfa72729-1525-4ee6-8ed4-0446d14e7d47</t>
  </si>
  <si>
    <t>dfa72729-1525-4ee6-8ed4-0446d14e7d47</t>
  </si>
  <si>
    <t>fee54fc6-5c81-47fb-86a4-d5bca2a0521e</t>
  </si>
  <si>
    <t>pon-prod-pn-control-ocupacion</t>
  </si>
  <si>
    <t>v_pedido_atendido_consolidada</t>
  </si>
  <si>
    <t>Control de Ocupación</t>
  </si>
  <si>
    <t>03. Pedidos de Emergencia Metropolitana de Bogotá</t>
  </si>
  <si>
    <t>Pedidos de Emergencia &gt; 03. Pedidos de Emergencia Metropolitana de Bogotá</t>
  </si>
  <si>
    <t>https://app.ia.policia.gov.co/dashboards/dashboard?idP=c1476ebc-87ce-4b35-9c89-18cd52b1cee6</t>
  </si>
  <si>
    <t>c1476ebc-87ce-4b35-9c89-18cd52b1cee6</t>
  </si>
  <si>
    <t>96913d99-85db-4697-8e1f-5f9028a6dad8</t>
  </si>
  <si>
    <t>pon-prod-pe-pedidos-emergencia-metropolitana-bogota</t>
  </si>
  <si>
    <t>llamadas_mebog_vista</t>
  </si>
  <si>
    <t>Pedidos de Emergencia Metropolitana de Bogotá</t>
  </si>
  <si>
    <t>04. Pedidos de Emergencia MEVAL</t>
  </si>
  <si>
    <t>Pedidos de Emergencia &gt; 04. Pedidos de Emergencia MEVAL</t>
  </si>
  <si>
    <t>https://app.ia.policia.gov.co/dashboards/dashboard?idP=69f99d01-4818-4975-9c25-3e9cbcc095ea</t>
  </si>
  <si>
    <t>69f99d01-4818-4975-9c25-3e9cbcc095ea</t>
  </si>
  <si>
    <t>3a913ae6-8234-41fe-a720-37cafad6393f</t>
  </si>
  <si>
    <t>pon-prod-pe-pedidos-emergencia-meval</t>
  </si>
  <si>
    <t>hexagon, svgv_mebog, svgmdp_limpio_meval</t>
  </si>
  <si>
    <t>05. Pedidos de Emergencia Resto del País</t>
  </si>
  <si>
    <t>Pedidos de Emergencia &gt; 05. Pedidos de Emergencia Resto del País</t>
  </si>
  <si>
    <t>https://app.ia.policia.gov.co/dashboards/dashboard?idP=38508ccd-722e-478f-93a3-23933a54f6b2</t>
  </si>
  <si>
    <t>38508ccd-722e-478f-93a3-23933a54f6b2</t>
  </si>
  <si>
    <t>95064f11-466c-4fec-af50-c0461f442303</t>
  </si>
  <si>
    <t>pon-prod-pe-pedidos-emergencia-resto-pais</t>
  </si>
  <si>
    <t>06. Top de Pedidos Nacional</t>
  </si>
  <si>
    <t>Pedidos de Emergencia &gt; 06. Top de Pedidos Nacional</t>
  </si>
  <si>
    <t>https://app.ia.policia.gov.co/dashboards/dashboard?idP=2f617000-aaca-4079-a330-cb258ad47084</t>
  </si>
  <si>
    <t>2f617000-aaca-4079-a330-cb258ad47084</t>
  </si>
  <si>
    <t>07. Comparativo por años - Pedidos de Emergencia</t>
  </si>
  <si>
    <t>Pedidos de Emergencia &gt; 07. Comparativo por años - Pedidos de Emergencia</t>
  </si>
  <si>
    <t>https://app.ia.policia.gov.co/dashboards/dashboard?idP=2110ea22-d326-4247-a0d3-ff5523bcb333</t>
  </si>
  <si>
    <t>2110ea22-d326-4247-a0d3-ff5523bcb333</t>
  </si>
  <si>
    <t>44d5b51a-a131-4ce1-9d76-66a147daa92b</t>
  </si>
  <si>
    <t>pon-prod-pe-comparativo-años</t>
  </si>
  <si>
    <t>Comparativo por Años - Pedidos de Emergencia A</t>
  </si>
  <si>
    <t>08. Tiempos de llegada y atención</t>
  </si>
  <si>
    <t>Pedidos de Emergencia &gt; 08. Tiempos de llegada y atención</t>
  </si>
  <si>
    <t>https://app.ia.policia.gov.co/dashboards/dashboard?idP=f7903f6a-d4dd-4813-a103-e7c6fc4a1324</t>
  </si>
  <si>
    <t>f7903f6a-d4dd-4813-a103-e7c6fc4a1324</t>
  </si>
  <si>
    <t>bf3cedbc-e647-45ca-a967-031ba5387e73</t>
  </si>
  <si>
    <t>pon-prod-pe-punto-llegada-atencion</t>
  </si>
  <si>
    <t>Tiempo de Llegada y Atención</t>
  </si>
  <si>
    <t>Pedidos de Emergencia Resto del País - MEBUC</t>
  </si>
  <si>
    <t>Pedidos de Emergencia &gt; Pedidos de Emergencia Resto del País - MEBUC</t>
  </si>
  <si>
    <t>https://app.ia.policia.gov.co/dashboards/dashboard?idP=c205f91c-23f4-4a24-a699-4c0a860c843b</t>
  </si>
  <si>
    <t>c205f91c-23f4-4a24-a699-4c0a860c843b</t>
  </si>
  <si>
    <t>Tiempos de llegada y atención - MEBUC</t>
  </si>
  <si>
    <t>Pedidos de Emergencia &gt; Tiempos de llegada y atención - MEBUC</t>
  </si>
  <si>
    <t>https://app.ia.policia.gov.co/dashboards/dashboard?idP=04d3fa1e-80d4-4016-af9e-19c8134792fe</t>
  </si>
  <si>
    <t>04d3fa1e-80d4-4016-af9e-19c8134792fe</t>
  </si>
  <si>
    <t>Tiempos de llegada y atención - MEVAL</t>
  </si>
  <si>
    <t>Pedidos de Emergencia &gt; Tiempos de llegada y atención - MEVAL</t>
  </si>
  <si>
    <t>https://app.ia.policia.gov.co/dashboards/dashboard?idP=4a4e2a23-a894-4af5-ac78-950760af1d1a</t>
  </si>
  <si>
    <t>4a4e2a23-a894-4af5-ac78-950760af1d1a</t>
  </si>
  <si>
    <t>0.1.2 Análisis de Pedidos de Emergencia</t>
  </si>
  <si>
    <t>Pedidos de Emergencia &gt; 0.1.2 Análisis de Pedidos de Emergencia</t>
  </si>
  <si>
    <t>https://app.ia.policia.gov.co/dashboards/dashboard?idP=9705a05b-bb29-41ce-9b28-d115fe45ecfe</t>
  </si>
  <si>
    <t>9705a05b-bb29-41ce-9b28-d115fe45ecfe</t>
  </si>
  <si>
    <t>06a5204e-58c3-4e0a-8d4a-2ace99a206ef</t>
  </si>
  <si>
    <t>pon-prod-pedidos-emergencia-operacional</t>
  </si>
  <si>
    <t>01. Reporte Nacional Llamadas de Emergencia</t>
  </si>
  <si>
    <t>Planta Nacional</t>
  </si>
  <si>
    <t>Planta Nacional &gt; 01. Reporte Nacional Llamadas de Emergencia</t>
  </si>
  <si>
    <t>https://app.ia.policia.gov.co/dashboards/dashboard?idP=008e9cb1-902a-43c6-b5a2-168f882bd342</t>
  </si>
  <si>
    <t>008e9cb1-902a-43c6-b5a2-168f882bd342</t>
  </si>
  <si>
    <t>bfc7ed70-6dbe-4d31-866a-641bdca015ce</t>
  </si>
  <si>
    <t>pon-prod-pn-reporte-nacional-seguridad</t>
  </si>
  <si>
    <t>Analisis-pbx-data-movistar</t>
  </si>
  <si>
    <t>v_pedido, svgv_llamadas_limpias, svgclasificacion_llamada, svgv_calls_version_2</t>
  </si>
  <si>
    <t>02. Reporte Regional Llamadas</t>
  </si>
  <si>
    <t>Planta Nacional &gt; 02. Reporte Regional Llamadas</t>
  </si>
  <si>
    <t>https://app.ia.policia.gov.co/dashboards/dashboard?idP=c3d7e1bf-9fd2-4369-87fc-6abdd7447491</t>
  </si>
  <si>
    <t>c3d7e1bf-9fd2-4369-87fc-6abdd7447491</t>
  </si>
  <si>
    <t>17a11d96-d3af-4ac6-ad0c-987e1942d23f</t>
  </si>
  <si>
    <t>pon-prod-pn-reporte-regional-llamadas</t>
  </si>
  <si>
    <t>Reporte Regional Llamadas</t>
  </si>
  <si>
    <t>03. Gestión y Análisis de Llamadas por Turno</t>
  </si>
  <si>
    <t>Planta Nacional &gt; 03. Gestión y Análisis de Llamadas por Turno</t>
  </si>
  <si>
    <t>https://app.ia.policia.gov.co/dashboards/dashboard?idP=8aea7932-76db-4abe-b9fb-644812a27445</t>
  </si>
  <si>
    <t>8aea7932-76db-4abe-b9fb-644812a27445</t>
  </si>
  <si>
    <t>0ab57285-f863-486a-9164-92fb29aae456</t>
  </si>
  <si>
    <t>pon-prod-pn-llamadas-por-turno</t>
  </si>
  <si>
    <t>control_estado_carga, svgv_pedido, svgv_llamadas_limpias, svgclasificacion_llamada, svgv_calls_version_2</t>
  </si>
  <si>
    <t>04. Identificación Automática de Ubicación (ALI)</t>
  </si>
  <si>
    <t>Planta Nacional &gt; 04. Identificación Automática de Ubicación (ALI)</t>
  </si>
  <si>
    <t>https://app.ia.policia.gov.co/dashboards/dashboard?idP=2c1901c5-a9d2-4824-a0ee-3a57139ce576</t>
  </si>
  <si>
    <t>2c1901c5-a9d2-4824-a0ee-3a57139ce576</t>
  </si>
  <si>
    <t>15a2ecdd-ff40-4ce3-8646-37b3a84f2533</t>
  </si>
  <si>
    <t>pon-prod-pn-identificacion-automatica-ubicacion</t>
  </si>
  <si>
    <t>pon-prod-raw-ali-report</t>
  </si>
  <si>
    <t>raw-ali-report</t>
  </si>
  <si>
    <t>05. Audios Telefonía</t>
  </si>
  <si>
    <t>Planta Nacional &gt; 05. Audios Telefonía</t>
  </si>
  <si>
    <t>https://app.ia.policia.gov.co/dashboards/dashboard?idP=1662038a-faf2-4403-ae67-aa38931574e3</t>
  </si>
  <si>
    <t>1662038a-faf2-4403-ae67-aa38931574e3</t>
  </si>
  <si>
    <t>efe913e6-c2fd-45a8-b676-95ae31b93731</t>
  </si>
  <si>
    <t>pon-prod-pn-audios-telefonia</t>
  </si>
  <si>
    <t>v_calls_version_2</t>
  </si>
  <si>
    <t>pbx_cdr_2.1</t>
  </si>
  <si>
    <t>Registro de Llamadas</t>
  </si>
  <si>
    <t>06. Control de llamadas pérdidas y contestadas</t>
  </si>
  <si>
    <t>Planta Nacional &gt; 06. Control de llamadas pérdidas y contestadas</t>
  </si>
  <si>
    <t>https://app.ia.policia.gov.co/dashboards/dashboard?idP=6621ba87-5ba1-43e9-ba53-957eaf814b0e</t>
  </si>
  <si>
    <t>6621ba87-5ba1-43e9-ba53-957eaf814b0e</t>
  </si>
  <si>
    <t>c6116f03-ff9f-41b6-b245-1cd475bd63ac</t>
  </si>
  <si>
    <t>pon-prod-pn-rendimiento-gestion-llamadas</t>
  </si>
  <si>
    <t>07. Comparativo Llamadas por Rango de Fechas</t>
  </si>
  <si>
    <t>Planta Nacional &gt; 07. Comparativo Llamadas por Rango de Fechas</t>
  </si>
  <si>
    <t>https://app.ia.policia.gov.co/dashboards/dashboard?idP=fbc77b1e-000b-4ad0-b3fd-549101ddbd4e</t>
  </si>
  <si>
    <t>fbc77b1e-000b-4ad0-b3fd-549101ddbd4e</t>
  </si>
  <si>
    <t>05cb90f6-01fc-49a4-893f-5f9389c52bb9</t>
  </si>
  <si>
    <t>pon-prod-pn-comparativo-llamadas-rango-fechas</t>
  </si>
  <si>
    <t>v_calls_version_2, svgv_pedido, svgV_PEDIDO_ATENDIDO_SECAD, svgllamada_autoupdate, svgV_PEDIDO_ATENDIDO_SECAD_MEBAR</t>
  </si>
  <si>
    <t>Audios Telefonía - MEBUC</t>
  </si>
  <si>
    <t>Planta Nacional &gt; Audios Telefonía - MEBUC</t>
  </si>
  <si>
    <t>https://app.ia.policia.gov.co/dashboards/dashboard?idP=2d3f7a27-9976-48c4-91c7-e7b4b09ea53f</t>
  </si>
  <si>
    <t>2d3f7a27-9976-48c4-91c7-e7b4b09ea53f</t>
  </si>
  <si>
    <t>Control de Ocupación - MEBUC</t>
  </si>
  <si>
    <t>Planta Nacional &gt; Control de Ocupación - MEBUC</t>
  </si>
  <si>
    <t>https://app.ia.policia.gov.co/dashboards/dashboard?idP=06989970-84ab-4f62-b585-cb9d46c2b188</t>
  </si>
  <si>
    <t>06989970-84ab-4f62-b585-cb9d46c2b188</t>
  </si>
  <si>
    <t>Rendimiento y Gestión de Llamadas - MEBUC</t>
  </si>
  <si>
    <t>Planta Nacional &gt; Rendimiento y Gestión de Llamadas - MEBUC</t>
  </si>
  <si>
    <t>https://app.ia.policia.gov.co/dashboards/dashboard?idP=f469987f-5666-4ea4-b675-3eb82c0678aa</t>
  </si>
  <si>
    <t>f469987f-5666-4ea4-b675-3eb82c0678aa</t>
  </si>
  <si>
    <t>Reporte Regional Llamadas - MEBOG</t>
  </si>
  <si>
    <t>Planta Nacional &gt; Reporte Regional Llamadas - MEBOG</t>
  </si>
  <si>
    <t>https://app.ia.policia.gov.co/dashboards/dashboard?idP=91fa1fdf-7a7b-480c-9d67-ac08fd961af8</t>
  </si>
  <si>
    <t>91fa1fdf-7a7b-480c-9d67-ac08fd961af8</t>
  </si>
  <si>
    <t>Reporte Regional Llamadas - MEBUC</t>
  </si>
  <si>
    <t>Planta Nacional &gt; Reporte Regional Llamadas - MEBUC</t>
  </si>
  <si>
    <t>https://app.ia.policia.gov.co/dashboards/dashboard?idP=8ba26073-b63a-4588-adf2-f3322698aa9a</t>
  </si>
  <si>
    <t>8ba26073-b63a-4588-adf2-f3322698aa9a</t>
  </si>
  <si>
    <t>01. Servicios extra</t>
  </si>
  <si>
    <t>Registro de Actuaciones Policiales</t>
  </si>
  <si>
    <t>Registro de Actuaciones Policiales &gt; 01. Servicios extra</t>
  </si>
  <si>
    <t>https://app.ia.policia.gov.co/dashboards/dashboard?idP=28638b73-801e-4d4d-9082-650206c6fd6a</t>
  </si>
  <si>
    <t>28638b73-801e-4d4d-9082-650206c6fd6a</t>
  </si>
  <si>
    <t>1dee1c32-3c72-4ba1-84b4-890c377c8464</t>
  </si>
  <si>
    <t>sirap_servicios_extra</t>
  </si>
  <si>
    <t>sirap_servicios_extra analysis</t>
  </si>
  <si>
    <t>raw_geopol_usr_pmu_servicios_extra, svgvista_actividades_descripcion</t>
  </si>
  <si>
    <t>Riesgos Sociales</t>
  </si>
  <si>
    <t>https://app.ia.policia.gov.co/dashboards/dashboard?idP=2b953fbd-dbe6-4a1a-80d9-cf1b29f94467</t>
  </si>
  <si>
    <t>2b953fbd-dbe6-4a1a-80d9-cf1b29f94467</t>
  </si>
  <si>
    <t>58790302-cd92-4fdc-b3e4-4cfc9c496ad4</t>
  </si>
  <si>
    <t>mtrs-riesgos_sociales</t>
  </si>
  <si>
    <t>usr_disec.v_mtrs_riesgo_ubicacion</t>
  </si>
  <si>
    <t>Servicio de Vigilancia Policial</t>
  </si>
  <si>
    <t>Servicio de Vigilancia Policial &gt; Servicio de Vigilancia Policial</t>
  </si>
  <si>
    <t>https://app.ia.policia.gov.co/dashboards/dashboard?idP=1e77b492-c9f2-48e9-ba15-8759829499e2</t>
  </si>
  <si>
    <t>1e77b492-c9f2-48e9-ba15-8759829499e2</t>
  </si>
  <si>
    <t>ccc2b182-055b-4eaf-846d-87419af1a609</t>
  </si>
  <si>
    <t>pon-prod-sivicc</t>
  </si>
  <si>
    <t>vista_tamir, svgvista_cuadrantes_numero_empleados_diario, svgvista_vehiculos_cuadrante_historico, svgvista_pda_radio_cuadrante_diario, svgvista_armas_capacidad, svgvista_minutas, svgvista_vehiculos_cuadrante, svgvista_armas_cuadrante_historico, svgvista_tamir_actividades, svgvista_vehiculos_cuadrante_diario, svgusr_mnvcc.cuadrante, svgvista_pda_radio_cuadrante_historico, svgvista_motos_cuadrante, svgv_empleado_cuadrante, svgvista_cuadrantes_numero_empleados_mensual, svgvista_armas_cuadrante_diario, svgvista_pda_cuadrantes, svgv_cuadrante_historial, svgVI_MINUTA_EMPLEADOS_202409260349, svgvista_empleado_cuadrante, svgvista_radio_cuadrantes</t>
  </si>
  <si>
    <t>Sistema Estadístico de Gestión Territorial</t>
  </si>
  <si>
    <t>Sistema Estadístico de Gestión Territorial &gt; Sistema Estadístico de Gestión Territorial</t>
  </si>
  <si>
    <t>https://app.ia.policia.gov.co/dashboards/dashboard?idP=3618670f-ac66-483b-825b-50baad078a2b</t>
  </si>
  <si>
    <t>3618670f-ac66-483b-825b-50baad078a2b</t>
  </si>
  <si>
    <t>4ca1a557-ec9e-4391-8072-b99fccf8cea1</t>
  </si>
  <si>
    <t>pon-prod-segt-sistema-estadistico-gestion-territorial</t>
  </si>
  <si>
    <t>usr_disec.v_gestion_recurso_detalle, svggestion_territorial, svgusr_disec.v_gestion_proyecto_detalle</t>
  </si>
  <si>
    <t>Datos Sin Limpiar (SECAD)</t>
  </si>
  <si>
    <t>Tableros de Monitoreo</t>
  </si>
  <si>
    <t>Tableros de Monitoreo &gt; Datos Sin Limpiar (SECAD)</t>
  </si>
  <si>
    <t>https://app.ia.policia.gov.co/dashboards/dashboard?idP=3529d12a-f9f4-4fb9-b5bf-3d2b372abcb8</t>
  </si>
  <si>
    <t>3529d12a-f9f4-4fb9-b5bf-3d2b372abcb8</t>
  </si>
  <si>
    <t>e6097852-f2fe-4f31-bcc7-13a82f5e10fa</t>
  </si>
  <si>
    <t>Tablero de control planta nacional</t>
  </si>
  <si>
    <t>Monitoreo ingesta llamadas de emergencia</t>
  </si>
  <si>
    <t>v_control_files, svgv_qs_refresh_monitor, svgv_monitoreo_final_clean</t>
  </si>
  <si>
    <t xml:space="preserve">      Dashboard de control reportes llamadas de emergencia recibidos </t>
  </si>
  <si>
    <t>Métricas de Uso de la Plataforma</t>
  </si>
  <si>
    <t>Tableros de Monitoreo &gt; Métricas de Uso de la Plataforma</t>
  </si>
  <si>
    <t>https://app.ia.policia.gov.co/dashboards/dashboard?idP=02989568-503e-46ed-8d01-2311bc5f6707</t>
  </si>
  <si>
    <t>02989568-503e-46ed-8d01-2311bc5f6707</t>
  </si>
  <si>
    <t>b111fe3c-5cc0-4fad-a061-ec820ae3aabc</t>
  </si>
  <si>
    <t>Actividad de usuarios en IAPOL</t>
  </si>
  <si>
    <t>Actividad_usuarios_IAPOL</t>
  </si>
  <si>
    <t>eventos_IAPOL, User_Roles</t>
  </si>
  <si>
    <t>usuarios_empresariales_siath</t>
  </si>
  <si>
    <t>Tablero Monitoreo Pedidos SECAD v3.0</t>
  </si>
  <si>
    <t>Tableros de Monitoreo &gt; Tablero Monitoreo Pedidos SECAD v3.0</t>
  </si>
  <si>
    <t>https://app.ia.policia.gov.co/dashboards/dashboard?idP=1ddbf100-16b1-45a3-a388-5f5fd3dec7bf</t>
  </si>
  <si>
    <t>1ddbf100-16b1-45a3-a388-5f5fd3dec7bf</t>
  </si>
  <si>
    <t>88250990-87f5-4079-b184-c31dbc561847</t>
  </si>
  <si>
    <t>vw_pedidos_secad analysis</t>
  </si>
  <si>
    <t>vw_pedidos_secad_v2</t>
  </si>
  <si>
    <t>Última actualización de datos migrados</t>
  </si>
  <si>
    <t>Tableros de Monitoreo &gt; Última actualización de datos migrados</t>
  </si>
  <si>
    <t>https://app.ia.policia.gov.co/dashboards/dashboard?idP=8cae6307-9b57-4c94-beb3-ae8c7ee7e04f</t>
  </si>
  <si>
    <t>8cae6307-9b57-4c94-beb3-ae8c7ee7e04f</t>
  </si>
  <si>
    <t>74a7549f-7797-4f59-ab08-0e3cc87d4a1f</t>
  </si>
  <si>
    <t>migracion_tablas</t>
  </si>
  <si>
    <t>utima_actualizacion_tablas analysis</t>
  </si>
  <si>
    <t>utima_actualizacion_tablas</t>
  </si>
  <si>
    <t>actuaizacion_tablas</t>
  </si>
  <si>
    <t>Tablero de control ingesta datos planta nacional</t>
  </si>
  <si>
    <t>Tableros de Monitoreo &gt; Tablero de control ingesta datos planta nacional</t>
  </si>
  <si>
    <t>Tablero de Monitoreo - Certificación IAPOL</t>
  </si>
  <si>
    <t>Tableros de Monitoreo &gt; Tablero de Monitoreo - Certificación IAPOL</t>
  </si>
  <si>
    <t>https://app.ia.policia.gov.co/dashboards/dashboard?idP=bedf8f54-1778-4690-8fcb-369c84879bf4</t>
  </si>
  <si>
    <t>bedf8f54-1778-4690-8fcb-369c84879bf4</t>
  </si>
  <si>
    <t>eb26ab6d-5941-474a-83f5-db4b16c41c0a</t>
  </si>
  <si>
    <t>Monitoreo Certificaciones IAPOL - Dashboard</t>
  </si>
  <si>
    <t>Monitoreo Certificaciones IAPOL - Analysis</t>
  </si>
  <si>
    <t>Certificaciones IAPOL - Preguntas y respuestas,Certificaciones IAPOL Dashboard</t>
  </si>
  <si>
    <t>Comparativo Semana de la Madre</t>
  </si>
  <si>
    <t>-</t>
  </si>
  <si>
    <t>- &gt; Comparativo Semana de la Madre</t>
  </si>
  <si>
    <t>c6108ce5-2a9b-468d-a4ee-9ef6fa80710e</t>
  </si>
  <si>
    <t xml:space="preserve">pon-prod-dm-comparativo-semana-madre
</t>
  </si>
  <si>
    <t>irisp, Boletin Z1, RawData\_SECAD\_Semana\_Madres, v\_mebog, RawData\_SIEDCO\_Semana\_Madres</t>
  </si>
  <si>
    <t>Frentes de Seguridad.</t>
  </si>
  <si>
    <t>- &gt; Frentes de Seguridad.</t>
  </si>
  <si>
    <t>6ac75796-432e-4380-b909-f747ce8ac54d</t>
  </si>
  <si>
    <t>pon-prod-sigco-frentes</t>
  </si>
  <si>
    <t>sigco_gestion_comunitaria,sigco_frentes_seguridad</t>
  </si>
  <si>
    <t>Predicciones</t>
  </si>
  <si>
    <t>- &gt; Predicciones</t>
  </si>
  <si>
    <t>05d339ee-df3a-4423-a4ef-36498ae87953</t>
  </si>
  <si>
    <t xml:space="preserve">Predicciones
 </t>
  </si>
  <si>
    <t xml:space="preserve">cuadrantes_patrulla,puntos,prediccion,bases
</t>
  </si>
  <si>
    <t>Actores potenciales - ESTACION DE POLICIA BOSA</t>
  </si>
  <si>
    <t>Código Nacional de Seguridad y Convivencia &gt; Actores potenciales - ESTACION DE POLICIA BOSA</t>
  </si>
  <si>
    <t xml:space="preserve">pon-prod-cnsc-actores-potenciales
</t>
  </si>
  <si>
    <t>Actores potenciales - ESTACION DE POLICIA CIUDAD BOLIVAR</t>
  </si>
  <si>
    <t>Código Nacional de Seguridad y Convivencia &gt; Actores potenciales - ESTACION DE POLICIA CIUDAD BOLIVAR</t>
  </si>
  <si>
    <t>Actores potenciales - ESTACION DE POLICIA ENGATIVA</t>
  </si>
  <si>
    <t>Código Nacional de Seguridad y Convivencia &gt; Actores potenciales - ESTACION DE POLICIA ENGATIVA</t>
  </si>
  <si>
    <t>Actores potenciales - ESTACION DE POLICIA KENNEDY</t>
  </si>
  <si>
    <t>Código Nacional de Seguridad y Convivencia &gt; Actores potenciales - ESTACION DE POLICIA KENNEDY</t>
  </si>
  <si>
    <t>Actores potenciales - ESTACION DE POLICIA MARTIRES</t>
  </si>
  <si>
    <t>Código Nacional de Seguridad y Convivencia &gt; Actores potenciales - ESTACION DE POLICIA MARTIRES</t>
  </si>
  <si>
    <t>Actores potenciales - ESTACION DE POLICIA SUBA</t>
  </si>
  <si>
    <t>Código Nacional de Seguridad y Convivencia &gt; Actores potenciales - ESTACION DE POLICIA SUBA</t>
  </si>
  <si>
    <t>Actores potenciales - MEBAR</t>
  </si>
  <si>
    <t>Código Nacional de Seguridad y Convivencia &gt; Actores potenciales - MEBAR</t>
  </si>
  <si>
    <t>Actores potenciales - MEBOG</t>
  </si>
  <si>
    <t>Código Nacional de Seguridad y Convivencia &gt; Actores potenciales - MEBOG</t>
  </si>
  <si>
    <t>Actores potenciales - MECAL</t>
  </si>
  <si>
    <t>Código Nacional de Seguridad y Convivencia &gt; Actores potenciales - MECAL</t>
  </si>
  <si>
    <t>Actores potenciales - MECAR</t>
  </si>
  <si>
    <t>Código Nacional de Seguridad y Convivencia &gt; Actores potenciales - MECAR</t>
  </si>
  <si>
    <t>Actores potenciales - MECUC</t>
  </si>
  <si>
    <t>Código Nacional de Seguridad y Convivencia &gt; Actores potenciales - MECUC</t>
  </si>
  <si>
    <t>Actores potenciales - MEMAZ</t>
  </si>
  <si>
    <t>Código Nacional de Seguridad y Convivencia &gt; Actores potenciales - MEMAZ</t>
  </si>
  <si>
    <t>Actores potenciales - MEMOT</t>
  </si>
  <si>
    <t>Código Nacional de Seguridad y Convivencia &gt; Actores potenciales - MEMOT</t>
  </si>
  <si>
    <t>Actores potenciales - MENEV</t>
  </si>
  <si>
    <t>Código Nacional de Seguridad y Convivencia &gt; Actores potenciales - MENEV</t>
  </si>
  <si>
    <t>Actores potenciales - MEPAS</t>
  </si>
  <si>
    <t>Código Nacional de Seguridad y Convivencia &gt; Actores potenciales - MEPAS</t>
  </si>
  <si>
    <t>Actores potenciales - MEPER</t>
  </si>
  <si>
    <t>Código Nacional de Seguridad y Convivencia &gt; Actores potenciales - MEPER</t>
  </si>
  <si>
    <t>Actores potenciales - MEPOY</t>
  </si>
  <si>
    <t>Código Nacional de Seguridad y Convivencia &gt; Actores potenciales - MEPOY</t>
  </si>
  <si>
    <t>Actores potenciales - MESAN</t>
  </si>
  <si>
    <t>Código Nacional de Seguridad y Convivencia &gt; Actores potenciales - MESAN</t>
  </si>
  <si>
    <t>Actores potenciales - MESOA</t>
  </si>
  <si>
    <t>Código Nacional de Seguridad y Convivencia &gt; Actores potenciales - MESOA</t>
  </si>
  <si>
    <t>Actores potenciales - METIB</t>
  </si>
  <si>
    <t>Código Nacional de Seguridad y Convivencia &gt; Actores potenciales - METIB</t>
  </si>
  <si>
    <t>Actores potenciales - METUN</t>
  </si>
  <si>
    <t>Código Nacional de Seguridad y Convivencia &gt; Actores potenciales - METUN</t>
  </si>
  <si>
    <t>Actores potenciales - MEVAL</t>
  </si>
  <si>
    <t>Código Nacional de Seguridad y Convivencia &gt; Actores potenciales - MEVAL</t>
  </si>
  <si>
    <t>Actores potenciales - MEVIL</t>
  </si>
  <si>
    <t>Código Nacional de Seguridad y Convivencia &gt; Actores potenciales - MEVIL</t>
  </si>
  <si>
    <t>Boletín Director General - ESTACION DE POLICIA BOSA</t>
  </si>
  <si>
    <t>Código Nacional de Seguridad y Convivencia &gt; Boletín Director General - ESTACION DE POLICIA BOSA</t>
  </si>
  <si>
    <t xml:space="preserve">pon-prod-cnsc-boletin-director-general
</t>
  </si>
  <si>
    <t>SolicitudMedidaboletin z1_v2,SeguimientoMedidaCorrectiva,vistas_reunion_rnmc,MediacionInvitacion,MediacionReunion,
reuniones_situ_v2</t>
  </si>
  <si>
    <t>Boletín Director General - ESTACION DE POLICIA CIUDAD BOLIVAR</t>
  </si>
  <si>
    <t>Código Nacional de Seguridad y Convivencia &gt; Boletín Director General - ESTACION DE POLICIA CIUDAD BOLIVAR</t>
  </si>
  <si>
    <t>Atención de comportamientos contrarios a la convivencia 
Periodo del 2024-01-01 00:00  al 2026-09-29 23:60</t>
  </si>
  <si>
    <t>Boletín Director General - ESTACION DE POLICIA ENGATIVA</t>
  </si>
  <si>
    <t>Código Nacional de Seguridad y Convivencia &gt; Boletín Director General - ESTACION DE POLICIA ENGATIVA</t>
  </si>
  <si>
    <t>Atención de comportamientos contrarios a la convivencia 
Periodo del 2024-01-01 00:00  al 2026-09-29 23:61</t>
  </si>
  <si>
    <t>Boletín Director General - ESTACION DE POLICIA KENNEDY</t>
  </si>
  <si>
    <t>Código Nacional de Seguridad y Convivencia &gt; Boletín Director General - ESTACION DE POLICIA KENNEDY</t>
  </si>
  <si>
    <t>Atención de comportamientos contrarios a la convivencia 
Periodo del 2024-01-01 00:00  al 2026-09-29 23:62</t>
  </si>
  <si>
    <t>Boletín Director General - ESTACION DE POLICIA MARTIRES</t>
  </si>
  <si>
    <t>Código Nacional de Seguridad y Convivencia &gt; Boletín Director General - ESTACION DE POLICIA MARTIRES</t>
  </si>
  <si>
    <t>Atención de comportamientos contrarios a la convivencia 
Periodo del 2024-01-01 00:00  al 2026-09-29 23:63</t>
  </si>
  <si>
    <t>Boletín Director General - ESTACION DE POLICIA SUBA</t>
  </si>
  <si>
    <t>Código Nacional de Seguridad y Convivencia &gt; Boletín Director General - ESTACION DE POLICIA SUBA</t>
  </si>
  <si>
    <t>Atención de comportamientos contrarios a la convivencia 
Periodo del 2024-01-01 00:00  al 2026-09-29 23:64</t>
  </si>
  <si>
    <t>Boletín Director General - MEBAR</t>
  </si>
  <si>
    <t>Código Nacional de Seguridad y Convivencia &gt; Boletín Director General - MEBAR</t>
  </si>
  <si>
    <t>Atención de comportamientos contrarios a la convivencia 
Periodo del 2024-01-01 00:00  al 2026-09-29 23:65</t>
  </si>
  <si>
    <t>Boletín Director General - MEBOG</t>
  </si>
  <si>
    <t>Código Nacional de Seguridad y Convivencia &gt; Boletín Director General - MEBOG</t>
  </si>
  <si>
    <t>Atención de comportamientos contrarios a la convivencia 
Periodo del 2024-01-01 00:00  al 2026-09-29 23:66</t>
  </si>
  <si>
    <t>Boletín Director General - MECAL</t>
  </si>
  <si>
    <t>Código Nacional de Seguridad y Convivencia &gt; Boletín Director General - MECAL</t>
  </si>
  <si>
    <t>Atención de comportamientos contrarios a la convivencia 
Periodo del 2024-01-01 00:00  al 2026-09-29 23:67</t>
  </si>
  <si>
    <t>Boletín Director General - MECAR</t>
  </si>
  <si>
    <t>Código Nacional de Seguridad y Convivencia &gt; Boletín Director General - MECAR</t>
  </si>
  <si>
    <t>Atención de comportamientos contrarios a la convivencia 
Periodo del 2024-01-01 00:00  al 2026-09-29 23:68</t>
  </si>
  <si>
    <t>Boletín Director General - MECUC</t>
  </si>
  <si>
    <t>Código Nacional de Seguridad y Convivencia &gt; Boletín Director General - MECUC</t>
  </si>
  <si>
    <t>Atención de comportamientos contrarios a la convivencia 
Periodo del 2024-01-01 00:00  al 2026-09-29 23:69</t>
  </si>
  <si>
    <t>Boletín Director General - MEMAZ</t>
  </si>
  <si>
    <t>Código Nacional de Seguridad y Convivencia &gt; Boletín Director General - MEMAZ</t>
  </si>
  <si>
    <t>Atención de comportamientos contrarios a la convivencia 
Periodo del 2024-01-01 00:00  al 2026-09-29 23:70</t>
  </si>
  <si>
    <t>Boletín Director General - MEMOT</t>
  </si>
  <si>
    <t>Código Nacional de Seguridad y Convivencia &gt; Boletín Director General - MEMOT</t>
  </si>
  <si>
    <t>Atención de comportamientos contrarios a la convivencia 
Periodo del 2024-01-01 00:00  al 2026-09-29 23:71</t>
  </si>
  <si>
    <t>Boletín Director General - MENEV</t>
  </si>
  <si>
    <t>Código Nacional de Seguridad y Convivencia &gt; Boletín Director General - MENEV</t>
  </si>
  <si>
    <t>Atención de comportamientos contrarios a la convivencia 
Periodo del 2024-01-01 00:00  al 2026-09-29 23:72</t>
  </si>
  <si>
    <t>Boletín Director General - MEPAS</t>
  </si>
  <si>
    <t>Código Nacional de Seguridad y Convivencia &gt; Boletín Director General - MEPAS</t>
  </si>
  <si>
    <t>Atención de comportamientos contrarios a la convivencia 
Periodo del 2024-01-01 00:00  al 2026-09-29 23:73</t>
  </si>
  <si>
    <t>Boletín Director General - MEPER</t>
  </si>
  <si>
    <t>Código Nacional de Seguridad y Convivencia &gt; Boletín Director General - MEPER</t>
  </si>
  <si>
    <t>Atención de comportamientos contrarios a la convivencia 
Periodo del 2024-01-01 00:00  al 2026-09-29 23:74</t>
  </si>
  <si>
    <t>Boletín Director General - MEPOY</t>
  </si>
  <si>
    <t>Código Nacional de Seguridad y Convivencia &gt; Boletín Director General - MEPOY</t>
  </si>
  <si>
    <t>Atención de comportamientos contrarios a la convivencia 
Periodo del 2024-01-01 00:00  al 2026-09-29 23:75</t>
  </si>
  <si>
    <t>Boletín Director General - MESAN</t>
  </si>
  <si>
    <t>Código Nacional de Seguridad y Convivencia &gt; Boletín Director General - MESAN</t>
  </si>
  <si>
    <t>Atención de comportamientos contrarios a la convivencia 
Periodo del 2024-01-01 00:00  al 2026-09-29 23:76</t>
  </si>
  <si>
    <t>Boletín Director General - MESOA</t>
  </si>
  <si>
    <t>Código Nacional de Seguridad y Convivencia &gt; Boletín Director General - MESOA</t>
  </si>
  <si>
    <t>Atención de comportamientos contrarios a la convivencia 
Periodo del 2024-01-01 00:00  al 2026-09-29 23:77</t>
  </si>
  <si>
    <t>Boletín Director General - METIB</t>
  </si>
  <si>
    <t>Código Nacional de Seguridad y Convivencia &gt; Boletín Director General - METIB</t>
  </si>
  <si>
    <t>Atención de comportamientos contrarios a la convivencia 
Periodo del 2024-01-01 00:00  al 2026-09-29 23:78</t>
  </si>
  <si>
    <t>Boletín Director General - METUN</t>
  </si>
  <si>
    <t>Código Nacional de Seguridad y Convivencia &gt; Boletín Director General - METUN</t>
  </si>
  <si>
    <t>Atención de comportamientos contrarios a la convivencia 
Periodo del 2024-01-01 00:00  al 2026-09-29 23:79</t>
  </si>
  <si>
    <t>Boletín Director General - MEVAL</t>
  </si>
  <si>
    <t>Código Nacional de Seguridad y Convivencia &gt; Boletín Director General - MEVAL</t>
  </si>
  <si>
    <t>Atención de comportamientos contrarios a la convivencia 
Periodo del 2024-01-01 00:00  al 2026-09-29 23:80</t>
  </si>
  <si>
    <t>Boletín Director General - MEVIL</t>
  </si>
  <si>
    <t>Código Nacional de Seguridad y Convivencia &gt; Boletín Director General - MEVIL</t>
  </si>
  <si>
    <t>Atención de comportamientos contrarios a la convivencia 
Periodo del 2024-01-01 00:00  al 2026-09-29 23:81</t>
  </si>
  <si>
    <t>Boletín Panorama Nacional - ESTACION DE POLICIA BOSA</t>
  </si>
  <si>
    <t>Código Nacional de Seguridad y Convivencia &gt; Boletín Panorama Nacional - ESTACION DE POLICIA BOSA</t>
  </si>
  <si>
    <t>1c9a317b-ceb3-4539-a881-ea29bf5f29c3</t>
  </si>
  <si>
    <t>no aparece o estas eliminado</t>
  </si>
  <si>
    <t>Boletín Panorama Nacional - ESTACION DE POLICIA CIUDAD BOLIVAR</t>
  </si>
  <si>
    <t>Código Nacional de Seguridad y Convivencia &gt; Boletín Panorama Nacional - ESTACION DE POLICIA CIUDAD BOLIV</t>
  </si>
  <si>
    <t>Boletín Panorama Nacional - ESTACION DE POLICIA ENGATIVA</t>
  </si>
  <si>
    <t>Código Nacional de Seguridad y Convivencia &gt; Boletín Panorama Nacional - ESTACION DE POLICIA ENGATIVA</t>
  </si>
  <si>
    <t>Boletín Panorama Nacional - ESTACION DE POLICIA KENNEDY</t>
  </si>
  <si>
    <t>Código Nacional de Seguridad y Convivencia &gt; Boletín Panorama Nacional - ESTACION DE POLICIA KENNEDY</t>
  </si>
  <si>
    <t>Boletín Panorama Nacional - ESTACION DE POLICIA MARTIRES</t>
  </si>
  <si>
    <t>Código Nacional de Seguridad y Convivencia &gt; Boletín Panorama Nacional - ESTACION DE POLICIA MARTIRES</t>
  </si>
  <si>
    <t>Boletín Panorama Nacional - ESTACION DE POLICIA SUBA</t>
  </si>
  <si>
    <t>Código Nacional de Seguridad y Convivencia &gt; Boletín Panorama Nacional - ESTACION DE POLICIA SUBA</t>
  </si>
  <si>
    <t>Código Nacional de Seguridad y Convivencia &gt; Código Nacional de Seguridad y Convivencia</t>
  </si>
  <si>
    <t>Estadística Nacional - ESTACION DE POLICIA BOSA</t>
  </si>
  <si>
    <t>Código Nacional de Seguridad y Convivencia &gt; Estadística Nacional - ESTACION DE POLICIA BOSA</t>
  </si>
  <si>
    <t xml:space="preserve">pon-prod-cnsc-estadistica-nacional
</t>
  </si>
  <si>
    <t>Estadística Nacional - ESTACION DE POLICIA CIUDAD BOLIVAR</t>
  </si>
  <si>
    <t>Código Nacional de Seguridad y Convivencia &gt; Estadística Nacional - ESTACION DE POLICIA CIUDAD BOLIVAR</t>
  </si>
  <si>
    <t>Estadística Nacional - ESTACION DE POLICIA ENGATIVA</t>
  </si>
  <si>
    <t>Código Nacional de Seguridad y Convivencia &gt; Estadística Nacional - ESTACION DE POLICIA ENGATIVA</t>
  </si>
  <si>
    <t>Estadística Nacional - ESTACION DE POLICIA KENNEDY</t>
  </si>
  <si>
    <t>Código Nacional de Seguridad y Convivencia &gt; Estadística Nacional - ESTACION DE POLICIA KENNEDY</t>
  </si>
  <si>
    <t>Estadística Nacional - ESTACION DE POLICIA MARTIRES</t>
  </si>
  <si>
    <t>Código Nacional de Seguridad y Convivencia &gt; Estadística Nacional - ESTACION DE POLICIA MARTIRES</t>
  </si>
  <si>
    <t>Estadística Nacional - ESTACION DE POLICIA SUBA</t>
  </si>
  <si>
    <t>Código Nacional de Seguridad y Convivencia &gt; Estadística Nacional - ESTACION DE POLICIA SUBA</t>
  </si>
  <si>
    <t>Estadística Nacional - MEBAR</t>
  </si>
  <si>
    <t>Código Nacional de Seguridad y Convivencia &gt; Estadística Nacional - MEBAR</t>
  </si>
  <si>
    <t>Estadística Nacional - MEBOG</t>
  </si>
  <si>
    <t>Código Nacional de Seguridad y Convivencia &gt; Estadística Nacional - MEBOG</t>
  </si>
  <si>
    <t>Estadística Nacional - MECAL</t>
  </si>
  <si>
    <t>Código Nacional de Seguridad y Convivencia &gt; Estadística Nacional - MECAL</t>
  </si>
  <si>
    <t>Estadística Nacional - MECAR</t>
  </si>
  <si>
    <t>Código Nacional de Seguridad y Convivencia &gt; Estadística Nacional - MECAR</t>
  </si>
  <si>
    <t>Estadística Nacional - MECUC</t>
  </si>
  <si>
    <t>Código Nacional de Seguridad y Convivencia &gt; Estadística Nacional - MECUC</t>
  </si>
  <si>
    <t>Estadística Nacional - MEMAZ</t>
  </si>
  <si>
    <t>Código Nacional de Seguridad y Convivencia &gt; Estadística Nacional - MEMAZ</t>
  </si>
  <si>
    <t>Estadística Nacional - MEMOT</t>
  </si>
  <si>
    <t>Código Nacional de Seguridad y Convivencia &gt; Estadística Nacional - MEMOT</t>
  </si>
  <si>
    <t>Estadística Nacional - MENEV</t>
  </si>
  <si>
    <t>Código Nacional de Seguridad y Convivencia &gt; Estadística Nacional - MENEV</t>
  </si>
  <si>
    <t>Estadística Nacional - MEPAS</t>
  </si>
  <si>
    <t>Código Nacional de Seguridad y Convivencia &gt; Estadística Nacional - MEPAS</t>
  </si>
  <si>
    <t>Estadística Nacional - MEPER</t>
  </si>
  <si>
    <t>Código Nacional de Seguridad y Convivencia &gt; Estadística Nacional - MEPER</t>
  </si>
  <si>
    <t>Estadística Nacional - MEPOY</t>
  </si>
  <si>
    <t>Código Nacional de Seguridad y Convivencia &gt; Estadística Nacional - MEPOY</t>
  </si>
  <si>
    <t>Estadística Nacional - MESAN</t>
  </si>
  <si>
    <t>Código Nacional de Seguridad y Convivencia &gt; Estadística Nacional - MESAN</t>
  </si>
  <si>
    <t>Estadística Nacional - MESOA</t>
  </si>
  <si>
    <t>Código Nacional de Seguridad y Convivencia &gt; Estadística Nacional - MESOA</t>
  </si>
  <si>
    <t>Estadística Nacional - METIB</t>
  </si>
  <si>
    <t>Código Nacional de Seguridad y Convivencia &gt; Estadística Nacional - METIB</t>
  </si>
  <si>
    <t>Estadística Nacional - METUN</t>
  </si>
  <si>
    <t>Código Nacional de Seguridad y Convivencia &gt; Estadística Nacional - METUN</t>
  </si>
  <si>
    <t>Estadística Nacional - MEVIL</t>
  </si>
  <si>
    <t>Código Nacional de Seguridad y Convivencia &gt; Estadística Nacional - MEVIL</t>
  </si>
  <si>
    <t>Informe General Mediación Policial - ESTACION DE POLICIA CIUDAD BOLIVAR</t>
  </si>
  <si>
    <t>Código Nacional de Seguridad y Convivencia &gt; Informe General Mediación Policial - ESTACION DE POLICIA CIUDAD BOLIVAR</t>
  </si>
  <si>
    <t xml:space="preserve">pon-prod-cnsc-informe-general-mediacion-policial
</t>
  </si>
  <si>
    <t xml:space="preserve">pon-prod-cnsc-informe-general-mediacion-policial
</t>
  </si>
  <si>
    <t>SolicitudMedida, MediacionCausa, MediacionPersona, MediacionAsistencia, mediacionacuerdo2_0, MediacionMotivo, MediacionInvitacion, MediacionReunion, vistas_reunion_mmc, mediacionseguimiento2_0, vista_acuerdos_con_y_sin_seguimiento</t>
  </si>
  <si>
    <t>Informe General Mediación Policial - ESTACION DE POLICIA SUBA</t>
  </si>
  <si>
    <t>Código Nacional de Seguridad y Convivencia &gt; Informe General Mediación Policial - ESTACION DE POLICIA SUBA</t>
  </si>
  <si>
    <t>Informe General Mediación Policial - ESTACION DE POLICIA BOSA</t>
  </si>
  <si>
    <t>Código Nacional de Seguridad y Convivencia &gt; Informe General Mediación Policial - ESTACION DE POLICIA BOSA</t>
  </si>
  <si>
    <t>Informe General Mediación Policial - ESTACION DE POLICIA ENGATIVA</t>
  </si>
  <si>
    <t>Código Nacional de Seguridad y Convivencia &gt; Informe General Mediación Policial - ESTACION DE POLICIA ENGATIVA</t>
  </si>
  <si>
    <t>Informe General Mediación Policial - ESTACION DE POLICIA KENNEDY</t>
  </si>
  <si>
    <t>Código Nacional de Seguridad y Convivencia &gt; Informe General Mediación Policial - ESTACION DE POLICIA KENNEDY</t>
  </si>
  <si>
    <t>Informe General Mediación Policial - ESTACION DE POLICIA MARTIRES</t>
  </si>
  <si>
    <t>Código Nacional de Seguridad y Convivencia &gt; Informe General Mediación Policial - ESTACION DE POLICIA MARTIRES</t>
  </si>
  <si>
    <t>Informe General Mediación Policial - MEBAR</t>
  </si>
  <si>
    <t>Código Nacional de Seguridad y Convivencia &gt; Informe General Mediación Policial - MEBAR</t>
  </si>
  <si>
    <t>Informe General Mediación Policial - MEBOG</t>
  </si>
  <si>
    <t>Código Nacional de Seguridad y Convivencia &gt; Informe General Mediación Policial - MEBOG</t>
  </si>
  <si>
    <t>Informe General Mediación Policial - MEBUC</t>
  </si>
  <si>
    <t>Código Nacional de Seguridad y Convivencia &gt; Informe General Mediación Policial - MEBUC</t>
  </si>
  <si>
    <t>Informe General Mediación Policial - MECAL</t>
  </si>
  <si>
    <t>Código Nacional de Seguridad y Convivencia &gt; Informe General Mediación Policial - MECAL</t>
  </si>
  <si>
    <t>Informe General Mediación Policial - MECAR</t>
  </si>
  <si>
    <t>Código Nacional de Seguridad y Convivencia &gt; Informe General Mediación Policial - MECAR</t>
  </si>
  <si>
    <t>Informe General Mediación Policial - MECUC</t>
  </si>
  <si>
    <t>Código Nacional de Seguridad y Convivencia &gt; Informe General Mediación Policial - MECUC</t>
  </si>
  <si>
    <t>Informe General Mediación Policial - MEMAZ</t>
  </si>
  <si>
    <t>Código Nacional de Seguridad y Convivencia &gt; Informe General Mediación Policial - MEMAZ</t>
  </si>
  <si>
    <t>Informe General Mediación Policial - MEMOT</t>
  </si>
  <si>
    <t>Código Nacional de Seguridad y Convivencia &gt; Informe General Mediación Policial - MEMOT</t>
  </si>
  <si>
    <t>Informe General Mediación Policial - MENEV</t>
  </si>
  <si>
    <t>Código Nacional de Seguridad y Convivencia &gt; Informe General Mediación Policial - MENEV</t>
  </si>
  <si>
    <t>Informe General Mediación Policial - MEPAS</t>
  </si>
  <si>
    <t>Código Nacional de Seguridad y Convivencia &gt; Informe General Mediación Policial - MEPAS</t>
  </si>
  <si>
    <t>Informe General Mediación Policial - MEPER</t>
  </si>
  <si>
    <t>Código Nacional de Seguridad y Convivencia &gt; Informe General Mediación Policial - MEPER</t>
  </si>
  <si>
    <t>Informe General Mediación Policial - MEPOY</t>
  </si>
  <si>
    <t>Código Nacional de Seguridad y Convivencia &gt; Informe General Mediación Policial - MEPOY</t>
  </si>
  <si>
    <t>Informe General Mediación Policial - MESAN</t>
  </si>
  <si>
    <t>Código Nacional de Seguridad y Convivencia &gt; Informe General Mediación Policial - MESAN</t>
  </si>
  <si>
    <t>Informe General Mediación Policial - MESOA</t>
  </si>
  <si>
    <t>Código Nacional de Seguridad y Convivencia &gt; Informe General Mediación Policial - MESOA</t>
  </si>
  <si>
    <t>Informe General Mediación Policial - METIB</t>
  </si>
  <si>
    <t>Código Nacional de Seguridad y Convivencia &gt; Informe General Mediación Policial - METIB</t>
  </si>
  <si>
    <t>Informe General Mediación Policial - METUN</t>
  </si>
  <si>
    <t>Código Nacional de Seguridad y Convivencia &gt; Informe General Mediación Policial - METUN</t>
  </si>
  <si>
    <t>Informe General Mediación Policial - MEVAL</t>
  </si>
  <si>
    <t>Código Nacional de Seguridad y Convivencia &gt; Informe General Mediación Policial - MEVAL</t>
  </si>
  <si>
    <t>Informe General Mediación Policial - MEVIL</t>
  </si>
  <si>
    <t>Código Nacional de Seguridad y Convivencia &gt; Informe General Mediación Policial - MEVIL</t>
  </si>
  <si>
    <t>01. Comportamiento Delictivo - BOSA</t>
  </si>
  <si>
    <t>Información Estadística Delictiva &gt; 01. Comportamiento Delictivo - BOSA</t>
  </si>
  <si>
    <t>01. Comportamiento Delictivo - CIUDAD BOLIVAR</t>
  </si>
  <si>
    <t>Información Estadística Delictiva &gt; 01. Comportamiento Delictivo - CIUDAD BOLIVAR</t>
  </si>
  <si>
    <t>01. Comportamiento Delictivo - ENGATIVA</t>
  </si>
  <si>
    <t>Información Estadística Delictiva &gt; 01. Comportamiento Delictivo - ENGATIVA</t>
  </si>
  <si>
    <t>01. Comportamiento Delictivo - KENNEDY</t>
  </si>
  <si>
    <t>Información Estadística Delictiva &gt; 01. Comportamiento Delictivo - KENNEDY</t>
  </si>
  <si>
    <t>01. Comportamiento Delictivo - MARTIRES</t>
  </si>
  <si>
    <t>Información Estadística Delictiva &gt; 01. Comportamiento Delictivo - MARTIRES</t>
  </si>
  <si>
    <t>01. Comportamiento Delictivo - SUBA</t>
  </si>
  <si>
    <t>Información Estadística Delictiva &gt; 01. Comportamiento Delictivo - SUBA</t>
  </si>
  <si>
    <t>Comparativo por años - Comportamiento Delictivo - MEBAR</t>
  </si>
  <si>
    <t>Información Estadística Delictiva &gt; Comparativo por años - Comportamiento Delictivo - MEBAR</t>
  </si>
  <si>
    <t>4042ee3f-cfb4-4e44-9b10-5052338a1751</t>
  </si>
  <si>
    <t>Comparativo por años - Comportamiento Delictivo - MEBOG</t>
  </si>
  <si>
    <t>Información Estadística Delictiva &gt; Comparativo por años - Comportamiento Delictivo - MEBOG</t>
  </si>
  <si>
    <t>4042ee3f-cfb4-4e44-9b10-5052338a1752</t>
  </si>
  <si>
    <t>Comparativo por años - Comportamiento Delictivo - MEBUC</t>
  </si>
  <si>
    <t>Información Estadística Delictiva &gt; Comparativo por años - Comportamiento Delictivo - MEBUC</t>
  </si>
  <si>
    <t>4042ee3f-cfb4-4e44-9b10-5052338a1753</t>
  </si>
  <si>
    <t>Comparativo por años - Comportamiento Delictivo - MECAL</t>
  </si>
  <si>
    <t>Información Estadística Delictiva &gt; Comparativo por años - Comportamiento Delictivo - MECAL</t>
  </si>
  <si>
    <t>4042ee3f-cfb4-4e44-9b10-5052338a1754</t>
  </si>
  <si>
    <t>Comparativo por años - Comportamiento Delictivo - MECAR</t>
  </si>
  <si>
    <t>Información Estadística Delictiva &gt; Comparativo por años - Comportamiento Delictivo - MECAR</t>
  </si>
  <si>
    <t>4042ee3f-cfb4-4e44-9b10-5052338a1755</t>
  </si>
  <si>
    <t>Comparativo por años - Comportamiento Delictivo - MECUC</t>
  </si>
  <si>
    <t>Información Estadística Delictiva &gt; Comparativo por años - Comportamiento Delictivo - MECUC</t>
  </si>
  <si>
    <t>4042ee3f-cfb4-4e44-9b10-5052338a1756</t>
  </si>
  <si>
    <t>Comparativo por años - Comportamiento Delictivo - MEMAZ</t>
  </si>
  <si>
    <t>Información Estadística Delictiva &gt; Comparativo por años - Comportamiento Delictivo - MEMAZ</t>
  </si>
  <si>
    <t>4042ee3f-cfb4-4e44-9b10-5052338a1757</t>
  </si>
  <si>
    <t>Comparativo por años - Comportamiento Delictivo - MEMOT</t>
  </si>
  <si>
    <t>Información Estadística Delictiva &gt; Comparativo por años - Comportamiento Delictivo - MEMOT</t>
  </si>
  <si>
    <t>4042ee3f-cfb4-4e44-9b10-5052338a1758</t>
  </si>
  <si>
    <t>Comparativo por años - Comportamiento Delictivo - MENEV</t>
  </si>
  <si>
    <t>Información Estadística Delictiva &gt; Comparativo por años - Comportamiento Delictivo - MENEV</t>
  </si>
  <si>
    <t>4042ee3f-cfb4-4e44-9b10-5052338a1759</t>
  </si>
  <si>
    <t>Comparativo por años - Comportamiento Delictivo - MEPER</t>
  </si>
  <si>
    <t>Información Estadística Delictiva &gt; Comparativo por años - Comportamiento Delictivo - MEPER</t>
  </si>
  <si>
    <t>4042ee3f-cfb4-4e44-9b10-5052338a1760</t>
  </si>
  <si>
    <t>Comparativo por años - Comportamiento Delictivo - MEPOY</t>
  </si>
  <si>
    <t>Información Estadística Delictiva &gt; Comparativo por años - Comportamiento Delictivo - MEPOY</t>
  </si>
  <si>
    <t>4042ee3f-cfb4-4e44-9b10-5052338a1761</t>
  </si>
  <si>
    <t>Comparativo por años - Comportamiento Delictivo - MESAN</t>
  </si>
  <si>
    <t>Información Estadística Delictiva &gt; Comparativo por años - Comportamiento Delictivo - MESAN</t>
  </si>
  <si>
    <t>4042ee3f-cfb4-4e44-9b10-5052338a1762</t>
  </si>
  <si>
    <t>Comparativo por años - Comportamiento Delictivo - MESOA</t>
  </si>
  <si>
    <t>Información Estadística Delictiva &gt; Comparativo por años - Comportamiento Delictivo - MESOA</t>
  </si>
  <si>
    <t>4042ee3f-cfb4-4e44-9b10-5052338a1763</t>
  </si>
  <si>
    <t>Comparativo por años - Comportamiento Delictivo - METIB</t>
  </si>
  <si>
    <t>Información Estadística Delictiva &gt; Comparativo por años - Comportamiento Delictivo - METIB</t>
  </si>
  <si>
    <t>4042ee3f-cfb4-4e44-9b10-5052338a1764</t>
  </si>
  <si>
    <t>Comparativo por años - Comportamiento Delictivo - METUN</t>
  </si>
  <si>
    <t>Información Estadística Delictiva &gt; Comparativo por años - Comportamiento Delictivo - METUN</t>
  </si>
  <si>
    <t>4042ee3f-cfb4-4e44-9b10-5052338a1765</t>
  </si>
  <si>
    <t>Comparativo por años - Comportamiento Delictivo - MEVAL</t>
  </si>
  <si>
    <t>Información Estadística Delictiva &gt; Comparativo por años - Comportamiento Delictivo - MEVAL</t>
  </si>
  <si>
    <t>4042ee3f-cfb4-4e44-9b10-5052338a1766</t>
  </si>
  <si>
    <t>Comparativo por años - Comportamiento Delictivo - MEVIL</t>
  </si>
  <si>
    <t>Información Estadística Delictiva &gt; Comparativo por años - Comportamiento Delictivo - MEVIL</t>
  </si>
  <si>
    <t>4042ee3f-cfb4-4e44-9b10-5052338a1767</t>
  </si>
  <si>
    <t>Comportamiento Delictivo - MEBAR</t>
  </si>
  <si>
    <t>Información Estadística Delictiva &gt; Comportamiento Delictivo - MEBAR</t>
  </si>
  <si>
    <t>Comportamiento Delictivo - MEBOG</t>
  </si>
  <si>
    <t>Información Estadística Delictiva &gt; Comportamiento Delictivo - MEBOG</t>
  </si>
  <si>
    <t>Comportamiento Delictivo - MECAL</t>
  </si>
  <si>
    <t>Información Estadística Delictiva &gt; Comportamiento Delictivo - MECAL</t>
  </si>
  <si>
    <t>Comportamiento Delictivo - MECAR</t>
  </si>
  <si>
    <t>Información Estadística Delictiva &gt; Comportamiento Delictivo - MECAR</t>
  </si>
  <si>
    <t>Comportamiento Delictivo - MEMAZ</t>
  </si>
  <si>
    <t>Información Estadística Delictiva &gt; Comportamiento Delictivo - MEMAZ</t>
  </si>
  <si>
    <t>Comportamiento Delictivo - MEMOT</t>
  </si>
  <si>
    <t>Información Estadística Delictiva &gt; Comportamiento Delictivo - MEMOT</t>
  </si>
  <si>
    <t>Comportamiento Delictivo - MENEV</t>
  </si>
  <si>
    <t>Información Estadística Delictiva &gt; Comportamiento Delictivo - MENEV</t>
  </si>
  <si>
    <t>Comportamiento Delictivo - MEPAS</t>
  </si>
  <si>
    <t>Información Estadística Delictiva &gt; Comportamiento Delictivo - MEPAS</t>
  </si>
  <si>
    <t>Comportamiento Delictivo - MEPOY</t>
  </si>
  <si>
    <t>Información Estadística Delictiva &gt; Comportamiento Delictivo - MEPOY</t>
  </si>
  <si>
    <t>Comportamiento Delictivo - MESAN</t>
  </si>
  <si>
    <t>Información Estadística Delictiva &gt; Comportamiento Delictivo - MESAN</t>
  </si>
  <si>
    <t>Comportamiento Delictivo - MESOA</t>
  </si>
  <si>
    <t>Información Estadística Delictiva &gt; Comportamiento Delictivo - MESOA</t>
  </si>
  <si>
    <t>Comportamiento Delictivo - METIB</t>
  </si>
  <si>
    <t>Información Estadística Delictiva &gt; Comportamiento Delictivo - METIB</t>
  </si>
  <si>
    <t>Comportamiento Delictivo - METUN</t>
  </si>
  <si>
    <t>Información Estadística Delictiva &gt; Comportamiento Delictivo - METUN</t>
  </si>
  <si>
    <t>Comportamiento Delictivo - MEVAL</t>
  </si>
  <si>
    <t>Información Estadística Delictiva &gt; Comportamiento Delictivo - MEVAL</t>
  </si>
  <si>
    <t>Comportamiento Delictivo - MEVIL</t>
  </si>
  <si>
    <t>Información Estadística Delictiva &gt; Comportamiento Delictivo - MEVIL</t>
  </si>
  <si>
    <t>Información Estadística Delictiva &gt; Información Estadística Delictiva</t>
  </si>
  <si>
    <t>Instrumento de Recolección de Información del Servicio de Policía &gt; Instrumento de Recolección de Información del Servicio de Policía</t>
  </si>
  <si>
    <t>Instrumento de Recolección de Información del Servicio de Policía - MEBAR</t>
  </si>
  <si>
    <t>Instrumento de Recolección de Información del Servicio de Policía &gt; Instrumento de Recolección de Información del Servicio de Policía - MEBAR</t>
  </si>
  <si>
    <t xml:space="preserve">pon-prod-irisp-instrumento-recoleccion-informacion-sistema-policia
</t>
  </si>
  <si>
    <t xml:space="preserve">pon-prod-irisp-instrumento-recoleccion-informacion-sistema-policia
</t>
  </si>
  <si>
    <t>Instrumento de Recolección de Información del Servicio de Policía - MEBOG</t>
  </si>
  <si>
    <t>Instrumento de Recolección de Información del Servicio de Policía &gt; Instrumento de Recolección de Información del Servicio de Policía - MEBOG</t>
  </si>
  <si>
    <t>Instrumento de Recolección de Información del Servicio de Policía - MECAL</t>
  </si>
  <si>
    <t>Instrumento de Recolección de Información del Servicio de Policía &gt; Instrumento de Recolección de Información del Servicio de Policía - MECAL</t>
  </si>
  <si>
    <t>Instrumento de Recolección de Información del Servicio de Policía - MECAR</t>
  </si>
  <si>
    <t>Instrumento de Recolección de Información del Servicio de Policía &gt; Instrumento de Recolección de Información del Servicio de Policía - MECAR</t>
  </si>
  <si>
    <t>Instrumento de Recolección de Información del Servicio de Policía - MECUC</t>
  </si>
  <si>
    <t>Instrumento de Recolección de Información del Servicio de Policía &gt; Instrumento de Recolección de Información del Servicio de Policía - MECUC</t>
  </si>
  <si>
    <t>Instrumento de Recolección de Información del Servicio de Policía - MEMAZ</t>
  </si>
  <si>
    <t>Instrumento de Recolección de Información del Servicio de Policía &gt; Instrumento de Recolección de Información del Servicio de Policía - MEMAZ</t>
  </si>
  <si>
    <t>Instrumento de Recolección de Información del Servicio de Policía - MEMOT</t>
  </si>
  <si>
    <t>Instrumento de Recolección de Información del Servicio de Policía &gt; Instrumento de Recolección de Información del Servicio de Policía - MEMOT</t>
  </si>
  <si>
    <t>Instrumento de Recolección de Información del Servicio de Policía - MENEV</t>
  </si>
  <si>
    <t>Instrumento de Recolección de Información del Servicio de Policía &gt; Instrumento de Recolección de Información del Servicio de Policía - MENEV</t>
  </si>
  <si>
    <t>Instrumento de Recolección de Información del Servicio de Policía - MEPAS</t>
  </si>
  <si>
    <t>Instrumento de Recolección de Información del Servicio de Policía &gt; Instrumento de Recolección de Información del Servicio de Policía - MEPAS</t>
  </si>
  <si>
    <t>Instrumento de Recolección de Información del Servicio de Policía - MEPER</t>
  </si>
  <si>
    <t>Instrumento de Recolección de Información del Servicio de Policía &gt; Instrumento de Recolección de Información del Servicio de Policía - MEPER</t>
  </si>
  <si>
    <t>Instrumento de Recolección de Información del Servicio de Policía - MEPOY</t>
  </si>
  <si>
    <t>Instrumento de Recolección de Información del Servicio de Policía &gt; Instrumento de Recolección de Información del Servicio de Policía - MEPOY</t>
  </si>
  <si>
    <t>Instrumento de Recolección de Información del Servicio de Policía - MESAN</t>
  </si>
  <si>
    <t>Instrumento de Recolección de Información del Servicio de Policía &gt; Instrumento de Recolección de Información del Servicio de Policía - MESAN</t>
  </si>
  <si>
    <t>Instrumento de Recolección de Información del Servicio de Policía - MESOA</t>
  </si>
  <si>
    <t>Instrumento de Recolección de Información del Servicio de Policía &gt; Instrumento de Recolección de Información del Servicio de Policía - MESOA</t>
  </si>
  <si>
    <t>Instrumento de Recolección de Información del Servicio de Policía - METIB</t>
  </si>
  <si>
    <t>Instrumento de Recolección de Información del Servicio de Policía &gt; Instrumento de Recolección de Información del Servicio de Policía - METIB</t>
  </si>
  <si>
    <t>Instrumento de Recolección de Información del Servicio de Policía - METUN</t>
  </si>
  <si>
    <t>Instrumento de Recolección de Información del Servicio de Policía &gt; Instrumento de Recolección de Información del Servicio de Policía - METUN</t>
  </si>
  <si>
    <t>Instrumento de Recolección de Información del Servicio de Policía - MEVAL</t>
  </si>
  <si>
    <t>Instrumento de Recolección de Información del Servicio de Policía &gt; Instrumento de Recolección de Información del Servicio de Policía - MEVAL</t>
  </si>
  <si>
    <t>Instrumento de Recolección de Información del Servicio de Policía - MEVIL</t>
  </si>
  <si>
    <t>Instrumento de Recolección de Información del Servicio de Policía &gt; Instrumento de Recolección de Información del Servicio de Policía - MEVIL</t>
  </si>
  <si>
    <t>Medidas de Protección en Violencia de Género &gt; Medidas de Protección en Violencia de Género</t>
  </si>
  <si>
    <t>Medidas de Protección Violencia intrafamiliar (Operacional) v1</t>
  </si>
  <si>
    <t>Medidas de Protección en Violencia de Género &gt; Medidas de Protección Violencia intrafamiliar (Operacional) v1</t>
  </si>
  <si>
    <t xml:space="preserve">Medidas-protección-Momet-Operativo
</t>
  </si>
  <si>
    <t>pon-prod-medidas-protección-momet-operativo.V1</t>
  </si>
  <si>
    <t>Oferta de participación cívica &gt; Oferta de participación cívica</t>
  </si>
  <si>
    <t>0.1.2 Análisis de Pedidos de Emergencia v1</t>
  </si>
  <si>
    <t>Pedidos de Emergencia &gt; 0.1.2 Análisis de Pedidos de Emergencia v1</t>
  </si>
  <si>
    <t xml:space="preserve">pon-prod-pedidos-emergencia-operacional
</t>
  </si>
  <si>
    <t>pbx_cdr, llamada_autoupdate, premier_one_date_formatted, v_pedido_atendido_consolidada, v_pedido, pedidos_por_motivo_secad_2018_al_2023, V_PEDIDO_ATENDIDO_SECAD, mdp_limpio_meval, V_PEDIDO_ATENDIDO_SECAD_MEBAR</t>
  </si>
  <si>
    <t>01. Análisis de Pedidos de Emergencia Nacional MEBOG</t>
  </si>
  <si>
    <t>Pedidos de Emergencia &gt; 01. Análisis de Pedidos de Emergencia Nacional MEBOG</t>
  </si>
  <si>
    <t xml:space="preserve">pon-prod-ae-analisis-pedidos-emergencia-nacionales
</t>
  </si>
  <si>
    <t>01. Análisis de Pedidos de Emergencia Nacional MEBUC</t>
  </si>
  <si>
    <t>Pedidos de Emergencia &gt; 01. Análisis de Pedidos de Emergencia Nacional MEBUC</t>
  </si>
  <si>
    <t>01. Análisis de Pedidos de Emergencia Nacional MECAL</t>
  </si>
  <si>
    <t>Pedidos de Emergencia &gt; 01. Análisis de Pedidos de Emergencia Nacional MECAL</t>
  </si>
  <si>
    <t>01. Análisis de Pedidos de Emergencia Nacional MECAR</t>
  </si>
  <si>
    <t>Pedidos de Emergencia &gt; 01. Análisis de Pedidos de Emergencia Nacional MECAR</t>
  </si>
  <si>
    <t>01. Análisis de Pedidos de Emergencia Nacional MECUC</t>
  </si>
  <si>
    <t>Pedidos de Emergencia &gt; 01. Análisis de Pedidos de Emergencia Nacional MECUC</t>
  </si>
  <si>
    <t>01. Análisis de Pedidos de Emergencia Nacional MEMAZ</t>
  </si>
  <si>
    <t>Pedidos de Emergencia &gt; 01. Análisis de Pedidos de Emergencia Nacional MEMAZ</t>
  </si>
  <si>
    <t>01. Análisis de Pedidos de Emergencia Nacional MEMOT</t>
  </si>
  <si>
    <t>Pedidos de Emergencia &gt; 01. Análisis de Pedidos de Emergencia Nacional MEMOT</t>
  </si>
  <si>
    <t>01. Análisis de Pedidos de Emergencia Nacional MENEV</t>
  </si>
  <si>
    <t>Pedidos de Emergencia &gt; 01. Análisis de Pedidos de Emergencia Nacional MENEV</t>
  </si>
  <si>
    <t>01. Análisis de Pedidos de Emergencia Nacional MEPAS</t>
  </si>
  <si>
    <t>Pedidos de Emergencia &gt; 01. Análisis de Pedidos de Emergencia Nacional MEPAS</t>
  </si>
  <si>
    <t>01. Análisis de Pedidos de Emergencia Nacional MEPER</t>
  </si>
  <si>
    <t>Pedidos de Emergencia &gt; 01. Análisis de Pedidos de Emergencia Nacional MEPER</t>
  </si>
  <si>
    <t>01. Análisis de Pedidos de Emergencia Nacional MEPOY</t>
  </si>
  <si>
    <t>Pedidos de Emergencia &gt; 01. Análisis de Pedidos de Emergencia Nacional MEPOY</t>
  </si>
  <si>
    <t>01. Análisis de Pedidos de Emergencia Nacional MESAN</t>
  </si>
  <si>
    <t>Pedidos de Emergencia &gt; 01. Análisis de Pedidos de Emergencia Nacional MESAN</t>
  </si>
  <si>
    <t>01. Análisis de Pedidos de Emergencia Nacional MESOA</t>
  </si>
  <si>
    <t>Pedidos de Emergencia &gt; 01. Análisis de Pedidos de Emergencia Nacional MESOA</t>
  </si>
  <si>
    <t>01. Análisis de Pedidos de Emergencia Nacional METIB</t>
  </si>
  <si>
    <t>Pedidos de Emergencia &gt; 01. Análisis de Pedidos de Emergencia Nacional METIB</t>
  </si>
  <si>
    <t>01. Análisis de Pedidos de Emergencia Nacional METUN</t>
  </si>
  <si>
    <t>Pedidos de Emergencia &gt; 01. Análisis de Pedidos de Emergencia Nacional METUN</t>
  </si>
  <si>
    <t>01. Análisis de Pedidos de Emergencia Nacional MEVAL</t>
  </si>
  <si>
    <t>Pedidos de Emergencia &gt; 01. Análisis de Pedidos de Emergencia Nacional MEVAL</t>
  </si>
  <si>
    <t>01. Análisis de Pedidos de Emergencia Nacional MEVIL</t>
  </si>
  <si>
    <t>Pedidos de Emergencia &gt; 01. Análisis de Pedidos de Emergencia Nacional MEVIL</t>
  </si>
  <si>
    <t xml:space="preserve">pon-prod-pe-punto-llegada-atencion
</t>
  </si>
  <si>
    <t xml:space="preserve">pon-prod-pe-punto-llegada-atencion
</t>
  </si>
  <si>
    <t>09. Control de Ocupación v1</t>
  </si>
  <si>
    <t>Pedidos de Emergencia &gt; 09. Control de Ocupación v1</t>
  </si>
  <si>
    <t xml:space="preserve">pon-prod-pn-control-ocupacion
</t>
  </si>
  <si>
    <t>Análisis de Pedidos de Emergencia Nacional MEBAR</t>
  </si>
  <si>
    <t>Pedidos de Emergencia &gt; Análisis de Pedidos de Emergencia Nacional MEBAR</t>
  </si>
  <si>
    <t xml:space="preserve">pon-prod-ae-analisis-pedidos-emergencia-nacional
</t>
  </si>
  <si>
    <t>Análisis estadístico MEBOG Chapinero</t>
  </si>
  <si>
    <t>Pedidos de Emergencia &gt; Análisis estadístico MEBOG Chapinero</t>
  </si>
  <si>
    <t>221e2684-e519-4e1a-a898-67d650adfbb4</t>
  </si>
  <si>
    <t>Análisis estadístico MEBOG Antonio Nariño</t>
  </si>
  <si>
    <t>Pedidos de Emergencia &gt; Análisis estadístico MEBOG Antonio Nariño</t>
  </si>
  <si>
    <t>Análisis estadístico MEBOG Barrios Unidos</t>
  </si>
  <si>
    <t>Pedidos de Emergencia &gt; Análisis estadístico MEBOG Barrios Unidos</t>
  </si>
  <si>
    <t>Análisis estadístico MEBOG Bosa</t>
  </si>
  <si>
    <t>Pedidos de Emergencia &gt; Análisis estadístico MEBOG Bosa</t>
  </si>
  <si>
    <t>Análisis estadístico MEBOG Candelaria</t>
  </si>
  <si>
    <t>Pedidos de Emergencia &gt; Análisis estadístico MEBOG Candelaria</t>
  </si>
  <si>
    <t>Análisis estadístico MEBOG Ciudad Bolivar</t>
  </si>
  <si>
    <t>Pedidos de Emergencia &gt; Análisis estadístico MEBOG Ciudad Bolivar</t>
  </si>
  <si>
    <t>Análisis estadístico MEBOG Engativá</t>
  </si>
  <si>
    <t>Pedidos de Emergencia &gt; Análisis estadístico MEBOG Engativá</t>
  </si>
  <si>
    <t>Análisis estadístico MEBOG Fontibón</t>
  </si>
  <si>
    <t>Pedidos de Emergencia &gt; Análisis estadístico MEBOG Fontibón</t>
  </si>
  <si>
    <t>Análisis estadístico MEBOG Kennedy</t>
  </si>
  <si>
    <t>Pedidos de Emergencia &gt; Análisis estadístico MEBOG Kennedy</t>
  </si>
  <si>
    <t>Análisis estadístico MEBOG Mártires</t>
  </si>
  <si>
    <t>Pedidos de Emergencia &gt; Análisis estadístico MEBOG Mártires</t>
  </si>
  <si>
    <t>Análisis estadístico MEBOG Puente Aranda</t>
  </si>
  <si>
    <t>Pedidos de Emergencia &gt; Análisis estadístico MEBOG Puente Aranda</t>
  </si>
  <si>
    <t>Análisis estadístico MEBOG Rafael Uribe Uribe</t>
  </si>
  <si>
    <t>Pedidos de Emergencia &gt; Análisis estadístico MEBOG Rafael Uribe Uribe</t>
  </si>
  <si>
    <t>Análisis estadístico MEBOG San Cristóbal</t>
  </si>
  <si>
    <t>Pedidos de Emergencia &gt; Análisis estadístico MEBOG San Cristóbal</t>
  </si>
  <si>
    <t>Análisis estadístico MEBOG Santa Fe</t>
  </si>
  <si>
    <t>Pedidos de Emergencia &gt; Análisis estadístico MEBOG Santa Fe</t>
  </si>
  <si>
    <t>Análisis estadístico MEBOG Suba</t>
  </si>
  <si>
    <t>Pedidos de Emergencia &gt; Análisis estadístico MEBOG Suba</t>
  </si>
  <si>
    <t>Análisis estadístico MEBOG Teusaquillo</t>
  </si>
  <si>
    <t>Pedidos de Emergencia &gt; Análisis estadístico MEBOG Teusaquillo</t>
  </si>
  <si>
    <t>Análisis estadístico MEBOG Tunjuelito</t>
  </si>
  <si>
    <t>Pedidos de Emergencia &gt; Análisis estadístico MEBOG Tunjuelito</t>
  </si>
  <si>
    <t>Análisis estadístico MEBOG Usaquen</t>
  </si>
  <si>
    <t>Pedidos de Emergencia &gt; Análisis estadístico MEBOG Usaquen</t>
  </si>
  <si>
    <t>Análisis estadístico MEBOG Usme</t>
  </si>
  <si>
    <t>Pedidos de Emergencia &gt; Análisis estadístico MEBOG Usme</t>
  </si>
  <si>
    <t>Comparativo por años - Pedidos de Emergencia - MEBAR</t>
  </si>
  <si>
    <t>Pedidos de Emergencia &gt; Comparativo por años - Pedidos de Emergencia - MEBAR</t>
  </si>
  <si>
    <t xml:space="preserve">pon-prod-pe-comparativo-años
</t>
  </si>
  <si>
    <t>Comparativo por años - Pedidos de Emergencia - MEBOG</t>
  </si>
  <si>
    <t>Pedidos de Emergencia &gt; Comparativo por años - Pedidos de Emergencia - MEBOG</t>
  </si>
  <si>
    <t>Comparativo por años - Pedidos de Emergencia - MEBUC</t>
  </si>
  <si>
    <t>Pedidos de Emergencia &gt; Comparativo por años - Pedidos de Emergencia - MEBUC</t>
  </si>
  <si>
    <t>Comparativo por años - Pedidos de Emergencia - MECAL</t>
  </si>
  <si>
    <t>Pedidos de Emergencia &gt; Comparativo por años - Pedidos de Emergencia - MECAL</t>
  </si>
  <si>
    <t>Comparativo por años - Pedidos de Emergencia - MECAR</t>
  </si>
  <si>
    <t>Pedidos de Emergencia &gt; Comparativo por años - Pedidos de Emergencia - MECAR</t>
  </si>
  <si>
    <t>Comparativo por años - Pedidos de Emergencia - MECUC</t>
  </si>
  <si>
    <t>Pedidos de Emergencia &gt; Comparativo por años - Pedidos de Emergencia - MECUC</t>
  </si>
  <si>
    <t>Comparativo por años - Pedidos de Emergencia - MEMAZ</t>
  </si>
  <si>
    <t>Pedidos de Emergencia &gt; Comparativo por años - Pedidos de Emergencia - MEMAZ</t>
  </si>
  <si>
    <t>Comparativo por años - Pedidos de Emergencia - MEMOT</t>
  </si>
  <si>
    <t>Pedidos de Emergencia &gt; Comparativo por años - Pedidos de Emergencia - MEMOT</t>
  </si>
  <si>
    <t>Comparativo por años - Pedidos de Emergencia - MENEV</t>
  </si>
  <si>
    <t>Pedidos de Emergencia &gt; Comparativo por años - Pedidos de Emergencia - MENEV</t>
  </si>
  <si>
    <t>Comparativo por años - Pedidos de Emergencia - MEPAS</t>
  </si>
  <si>
    <t>Pedidos de Emergencia &gt; Comparativo por años - Pedidos de Emergencia - MEPAS</t>
  </si>
  <si>
    <t>Comparativo por años - Pedidos de Emergencia - MEPER</t>
  </si>
  <si>
    <t>Pedidos de Emergencia &gt; Comparativo por años - Pedidos de Emergencia - MEPER</t>
  </si>
  <si>
    <t>Comparativo por años - Pedidos de Emergencia - MEPOY</t>
  </si>
  <si>
    <t>Pedidos de Emergencia &gt; Comparativo por años - Pedidos de Emergencia - MEPOY</t>
  </si>
  <si>
    <t>Comparativo por años - Pedidos de Emergencia - MESAN</t>
  </si>
  <si>
    <t>Pedidos de Emergencia &gt; Comparativo por años - Pedidos de Emergencia - MESAN</t>
  </si>
  <si>
    <t>Comparativo por años - Pedidos de Emergencia - MESOA</t>
  </si>
  <si>
    <t>Pedidos de Emergencia &gt; Comparativo por años - Pedidos de Emergencia - MESOA</t>
  </si>
  <si>
    <t>Comparativo por años - Pedidos de Emergencia - METIB</t>
  </si>
  <si>
    <t>Pedidos de Emergencia &gt; Comparativo por años - Pedidos de Emergencia - METIB</t>
  </si>
  <si>
    <t>Comparativo por años - Pedidos de Emergencia - METUN</t>
  </si>
  <si>
    <t>Pedidos de Emergencia &gt; Comparativo por años - Pedidos de Emergencia - METUN</t>
  </si>
  <si>
    <t>Comparativo por años - Pedidos de Emergencia - MEVAL</t>
  </si>
  <si>
    <t>Pedidos de Emergencia &gt; Comparativo por años - Pedidos de Emergencia - MEVAL</t>
  </si>
  <si>
    <t>Comparativo por años - Pedidos de Emergencia - MEVIL</t>
  </si>
  <si>
    <t>Pedidos de Emergencia &gt; Comparativo por años - Pedidos de Emergencia - MEVIL</t>
  </si>
  <si>
    <t>Pedidos de Emergencia &gt; Pedidos de Emergencia</t>
  </si>
  <si>
    <t>Pedidos de Emergencia Metropolitana de Bogotá - BOSA</t>
  </si>
  <si>
    <t>Pedidos de Emergencia &gt; Pedidos de Emergencia Metropolitana de Bogotá - BOSA</t>
  </si>
  <si>
    <t>Pedidos de Emergencia Metropolitana de Bogotá - CIUDAD BOLIVAR</t>
  </si>
  <si>
    <t>Pedidos de Emergencia &gt; Pedidos de Emergencia Metropolitana de Bogotá - CIUDAD BOLIVAR</t>
  </si>
  <si>
    <t>Pedidos de Emergencia Metropolitana de Bogotá - ENGATIVA</t>
  </si>
  <si>
    <t>Pedidos de Emergencia &gt; Pedidos de Emergencia Metropolitana de Bogotá - ENGATIVA</t>
  </si>
  <si>
    <t>Pedidos de Emergencia Metropolitana de Bogotá - KENNEDY</t>
  </si>
  <si>
    <t>Pedidos de Emergencia &gt; Pedidos de Emergencia Metropolitana de Bogotá - KENNEDY</t>
  </si>
  <si>
    <t>Pedidos de Emergencia Metropolitana de Bogotá - MARTIRES</t>
  </si>
  <si>
    <t>Pedidos de Emergencia &gt; Pedidos de Emergencia Metropolitana de Bogotá - MARTIRES</t>
  </si>
  <si>
    <t>Pedidos de Emergencia Metropolitana de Bogotá - SUBA</t>
  </si>
  <si>
    <t>Pedidos de Emergencia &gt; Pedidos de Emergencia Metropolitana de Bogotá - SUBA</t>
  </si>
  <si>
    <t>Pedidos de Emergencia Resto del País - MEBAR</t>
  </si>
  <si>
    <t>Pedidos de Emergencia &gt; Pedidos de Emergencia Resto del País - MEBAR</t>
  </si>
  <si>
    <t xml:space="preserve">pon-prod-pe-pedidos-emergencia-resto-pais
</t>
  </si>
  <si>
    <t>Informe Pedidos de Emergencia Resto del País</t>
  </si>
  <si>
    <t>Pedidos de Emergencia Resto del País - MEBOG</t>
  </si>
  <si>
    <t>Pedidos de Emergencia &gt; Pedidos de Emergencia Resto del País - MEBOG</t>
  </si>
  <si>
    <t>Pedidos de Emergencia Resto del País - MECAL</t>
  </si>
  <si>
    <t>Pedidos de Emergencia &gt; Pedidos de Emergencia Resto del País - MECAL</t>
  </si>
  <si>
    <t>Pedidos de Emergencia Resto del País - MECAR</t>
  </si>
  <si>
    <t>Pedidos de Emergencia &gt; Pedidos de Emergencia Resto del País - MECAR</t>
  </si>
  <si>
    <t>Pedidos de Emergencia Resto del País - MECUC</t>
  </si>
  <si>
    <t>Pedidos de Emergencia &gt; Pedidos de Emergencia Resto del País - MECUC</t>
  </si>
  <si>
    <t>Pedidos de Emergencia Resto del País - MEMAZ</t>
  </si>
  <si>
    <t>Pedidos de Emergencia &gt; Pedidos de Emergencia Resto del País - MEMAZ</t>
  </si>
  <si>
    <t>Pedidos de Emergencia Resto del País - MEMOT</t>
  </si>
  <si>
    <t>Pedidos de Emergencia &gt; Pedidos de Emergencia Resto del País - MEMOT</t>
  </si>
  <si>
    <t>Pedidos de Emergencia Resto del País - MENEV</t>
  </si>
  <si>
    <t>Pedidos de Emergencia &gt; Pedidos de Emergencia Resto del País - MENEV</t>
  </si>
  <si>
    <t>Pedidos de Emergencia Resto del País - MEPAS</t>
  </si>
  <si>
    <t>Pedidos de Emergencia &gt; Pedidos de Emergencia Resto del País - MEPAS</t>
  </si>
  <si>
    <t>Pedidos de Emergencia Resto del País - MEPER</t>
  </si>
  <si>
    <t>Pedidos de Emergencia &gt; Pedidos de Emergencia Resto del País - MEPER</t>
  </si>
  <si>
    <t>Pedidos de Emergencia Resto del País - MEPOY</t>
  </si>
  <si>
    <t>Pedidos de Emergencia &gt; Pedidos de Emergencia Resto del País - MEPOY</t>
  </si>
  <si>
    <t>Pedidos de Emergencia Resto del País - MESAN</t>
  </si>
  <si>
    <t>Pedidos de Emergencia &gt; Pedidos de Emergencia Resto del País - MESAN</t>
  </si>
  <si>
    <t>Pedidos de Emergencia Resto del País - MESOA</t>
  </si>
  <si>
    <t>Pedidos de Emergencia &gt; Pedidos de Emergencia Resto del País - MESOA</t>
  </si>
  <si>
    <t>Pedidos de Emergencia Resto del País - METIB</t>
  </si>
  <si>
    <t>Pedidos de Emergencia &gt; Pedidos de Emergencia Resto del País - METIB</t>
  </si>
  <si>
    <t>Pedidos de Emergencia Resto del País - METUN</t>
  </si>
  <si>
    <t>Pedidos de Emergencia &gt; Pedidos de Emergencia Resto del País - METUN</t>
  </si>
  <si>
    <t>Pedidos de Emergencia Resto del País - MEVAL</t>
  </si>
  <si>
    <t>Pedidos de Emergencia &gt; Pedidos de Emergencia Resto del País - MEVAL</t>
  </si>
  <si>
    <t>Pedidos de Emergencia Resto del País - MEVIL</t>
  </si>
  <si>
    <t>Pedidos de Emergencia &gt; Pedidos de Emergencia Resto del País - MEVIL</t>
  </si>
  <si>
    <t>Tiempos de llegada y atención - MEBAR</t>
  </si>
  <si>
    <t>Pedidos de Emergencia &gt; Tiempos de llegada y atención - MEBAR</t>
  </si>
  <si>
    <t>Tiempos de llegada y atención - MEBOG</t>
  </si>
  <si>
    <t>Pedidos de Emergencia &gt; Tiempos de llegada y atención - MEBOG</t>
  </si>
  <si>
    <t>Tiempos de llegada y atención - MECAL</t>
  </si>
  <si>
    <t>Pedidos de Emergencia &gt; Tiempos de llegada y atención - MECAL</t>
  </si>
  <si>
    <t>Tiempos de llegada y atención - MECAR</t>
  </si>
  <si>
    <t>Pedidos de Emergencia &gt; Tiempos de llegada y atención - MECAR</t>
  </si>
  <si>
    <t>Tiempos de llegada y atención - MECUC</t>
  </si>
  <si>
    <t>Pedidos de Emergencia &gt; Tiempos de llegada y atención - MECUC</t>
  </si>
  <si>
    <t>Tiempos de llegada y atención - MEMAZ</t>
  </si>
  <si>
    <t>Pedidos de Emergencia &gt; Tiempos de llegada y atención - MEMAZ</t>
  </si>
  <si>
    <t>Tiempos de llegada y atención - MEMOT</t>
  </si>
  <si>
    <t>Pedidos de Emergencia &gt; Tiempos de llegada y atención - MEMOT</t>
  </si>
  <si>
    <t>Tiempos de llegada y atención - MENEV</t>
  </si>
  <si>
    <t>Pedidos de Emergencia &gt; Tiempos de llegada y atención - MENEV</t>
  </si>
  <si>
    <t>Tiempos de llegada y atención - MEPAS</t>
  </si>
  <si>
    <t>Pedidos de Emergencia &gt; Tiempos de llegada y atención - MEPAS</t>
  </si>
  <si>
    <t>Tiempos de llegada y atención - MEPER</t>
  </si>
  <si>
    <t>Pedidos de Emergencia &gt; Tiempos de llegada y atención - MEPER</t>
  </si>
  <si>
    <t>Tiempos de llegada y atención - MEPOY</t>
  </si>
  <si>
    <t>Pedidos de Emergencia &gt; Tiempos de llegada y atención - MEPOY</t>
  </si>
  <si>
    <t>Tiempos de llegada y atención - MESAN</t>
  </si>
  <si>
    <t>Pedidos de Emergencia &gt; Tiempos de llegada y atención - MESAN</t>
  </si>
  <si>
    <t>Tiempos de llegada y atención - MESOA</t>
  </si>
  <si>
    <t>Pedidos de Emergencia &gt; Tiempos de llegada y atención - MESOA</t>
  </si>
  <si>
    <t>Tiempos de llegada y atención - METIB</t>
  </si>
  <si>
    <t>Pedidos de Emergencia &gt; Tiempos de llegada y atención - METIB</t>
  </si>
  <si>
    <t>Tiempos de llegada y atención - METUN</t>
  </si>
  <si>
    <t>Pedidos de Emergencia &gt; Tiempos de llegada y atención - METUN</t>
  </si>
  <si>
    <t>Tiempos de llegada y atención - MEVIL</t>
  </si>
  <si>
    <t>Pedidos de Emergencia &gt; Tiempos de llegada y atención - MEVIL</t>
  </si>
  <si>
    <t>03. Gestión y Análisis de Llamadas por Turno - MEBAR</t>
  </si>
  <si>
    <t>Planta Nacional &gt; 03. Gestión y Análisis de Llamadas por Turno - MEBAR</t>
  </si>
  <si>
    <t xml:space="preserve">pon-prod-pn-llamadas-por-turno
</t>
  </si>
  <si>
    <t>control_estado_carga, v_pedido, v_llamadas_limpias, clasificacion_llamada, v_calls_version_2</t>
  </si>
  <si>
    <t>Gestión y Análisis de Llamadas por Turno</t>
  </si>
  <si>
    <t>03. Gestión y Análisis de Llamadas por Turno - MEBOG</t>
  </si>
  <si>
    <t>Planta Nacional &gt; 03. Gestión y Análisis de Llamadas por Turno - MEBOG</t>
  </si>
  <si>
    <t>control_estado_carga, v_pedido, v_llamadas_limpias, clasificacion_llamada, v_calls_version_3</t>
  </si>
  <si>
    <t>03. Gestión y Análisis de Llamadas por Turno - MEBUC</t>
  </si>
  <si>
    <t>Planta Nacional &gt; 03. Gestión y Análisis de Llamadas por Turno - MEBUC</t>
  </si>
  <si>
    <t>control_estado_carga, v_pedido, v_llamadas_limpias, clasificacion_llamada, v_calls_version_4</t>
  </si>
  <si>
    <t>03. Gestión y Análisis de Llamadas por Turno - MECAL</t>
  </si>
  <si>
    <t>Planta Nacional &gt; 03. Gestión y Análisis de Llamadas por Turno - MECAL</t>
  </si>
  <si>
    <t>control_estado_carga, v_pedido, v_llamadas_limpias, clasificacion_llamada, v_calls_version_5</t>
  </si>
  <si>
    <t>03. Gestión y Análisis de Llamadas por Turno - MECAR</t>
  </si>
  <si>
    <t>Planta Nacional &gt; 03. Gestión y Análisis de Llamadas por Turno - MECAR</t>
  </si>
  <si>
    <t>control_estado_carga, v_pedido, v_llamadas_limpias, clasificacion_llamada, v_calls_version_6</t>
  </si>
  <si>
    <t>03. Gestión y Análisis de Llamadas por Turno - MECUC</t>
  </si>
  <si>
    <t>Planta Nacional &gt; 03. Gestión y Análisis de Llamadas por Turno - MECUC</t>
  </si>
  <si>
    <t>control_estado_carga, v_pedido, v_llamadas_limpias, clasificacion_llamada, v_calls_version_7</t>
  </si>
  <si>
    <t>03. Gestión y Análisis de Llamadas por Turno - MEMAZ</t>
  </si>
  <si>
    <t>Planta Nacional &gt; 03. Gestión y Análisis de Llamadas por Turno - MEMAZ</t>
  </si>
  <si>
    <t>control_estado_carga, v_pedido, v_llamadas_limpias, clasificacion_llamada, v_calls_version_8</t>
  </si>
  <si>
    <t>03. Gestión y Análisis de Llamadas por Turno - MEMOT</t>
  </si>
  <si>
    <t>Planta Nacional &gt; 03. Gestión y Análisis de Llamadas por Turno - MEMOT</t>
  </si>
  <si>
    <t>control_estado_carga, v_pedido, v_llamadas_limpias, clasificacion_llamada, v_calls_version_9</t>
  </si>
  <si>
    <t>03. Gestión y Análisis de Llamadas por Turno - MENEV</t>
  </si>
  <si>
    <t>Planta Nacional &gt; 03. Gestión y Análisis de Llamadas por Turno - MENEV</t>
  </si>
  <si>
    <t>control_estado_carga, v_pedido, v_llamadas_limpias, clasificacion_llamada, v_calls_version_10</t>
  </si>
  <si>
    <t>03. Gestión y Análisis de Llamadas por Turno - MEPAS</t>
  </si>
  <si>
    <t>Planta Nacional &gt; 03. Gestión y Análisis de Llamadas por Turno - MEPAS</t>
  </si>
  <si>
    <t>control_estado_carga, v_pedido, v_llamadas_limpias, clasificacion_llamada, v_calls_version_11</t>
  </si>
  <si>
    <t>03. Gestión y Análisis de Llamadas por Turno - MEPER</t>
  </si>
  <si>
    <t>Planta Nacional &gt; 03. Gestión y Análisis de Llamadas por Turno - MEPER</t>
  </si>
  <si>
    <t>control_estado_carga, v_pedido, v_llamadas_limpias, clasificacion_llamada, v_calls_version_12</t>
  </si>
  <si>
    <t>03. Gestión y Análisis de Llamadas por Turno - MEPOY</t>
  </si>
  <si>
    <t>Planta Nacional &gt; 03. Gestión y Análisis de Llamadas por Turno - MEPOY</t>
  </si>
  <si>
    <t>control_estado_carga, v_pedido, v_llamadas_limpias, clasificacion_llamada, v_calls_version_13</t>
  </si>
  <si>
    <t>03. Gestión y Análisis de Llamadas por Turno - MESAN</t>
  </si>
  <si>
    <t>Planta Nacional &gt; 03. Gestión y Análisis de Llamadas por Turno - MESAN</t>
  </si>
  <si>
    <t>control_estado_carga, v_pedido, v_llamadas_limpias, clasificacion_llamada, v_calls_version_14</t>
  </si>
  <si>
    <t>03. Gestión y Análisis de Llamadas por Turno - MESOA</t>
  </si>
  <si>
    <t>Planta Nacional &gt; 03. Gestión y Análisis de Llamadas por Turno - MESOA</t>
  </si>
  <si>
    <t>control_estado_carga, v_pedido, v_llamadas_limpias, clasificacion_llamada, v_calls_version_15</t>
  </si>
  <si>
    <t>03. Gestión y Análisis de Llamadas por Turno - METIB</t>
  </si>
  <si>
    <t>Planta Nacional &gt; 03. Gestión y Análisis de Llamadas por Turno - METIB</t>
  </si>
  <si>
    <t>control_estado_carga, v_pedido, v_llamadas_limpias, clasificacion_llamada, v_calls_version_16</t>
  </si>
  <si>
    <t>03. Gestión y Análisis de Llamadas por Turno - METUN</t>
  </si>
  <si>
    <t>Planta Nacional &gt; 03. Gestión y Análisis de Llamadas por Turno - METUN</t>
  </si>
  <si>
    <t>control_estado_carga, v_pedido, v_llamadas_limpias, clasificacion_llamada, v_calls_version_17</t>
  </si>
  <si>
    <t>03. Gestión y Análisis de Llamadas por Turno - MEVAL</t>
  </si>
  <si>
    <t>Planta Nacional &gt; 03. Gestión y Análisis de Llamadas por Turno - MEVAL</t>
  </si>
  <si>
    <t>control_estado_carga, v_pedido, v_llamadas_limpias, clasificacion_llamada, v_calls_version_18</t>
  </si>
  <si>
    <t>03. Gestión y Análisis de Llamadas por Turno - MEVIL</t>
  </si>
  <si>
    <t>Planta Nacional &gt; 03. Gestión y Análisis de Llamadas por Turno - MEVIL</t>
  </si>
  <si>
    <t>control_estado_carga, v_pedido, v_llamadas_limpias, clasificacion_llamada, v_calls_version_19</t>
  </si>
  <si>
    <t>Audios Telefonía - MEBAR</t>
  </si>
  <si>
    <t>Planta Nacional &gt; Audios Telefonía - MEBAR</t>
  </si>
  <si>
    <t xml:space="preserve">pon-prod-pn-audios-telefonia
</t>
  </si>
  <si>
    <t xml:space="preserve">pon-prod-pn-audios-telefonia
</t>
  </si>
  <si>
    <t>Audios Telefonía - MEBOG</t>
  </si>
  <si>
    <t>Planta Nacional &gt; Audios Telefonía - MEBOG</t>
  </si>
  <si>
    <t>Audios Telefonía - MECAL</t>
  </si>
  <si>
    <t>Planta Nacional &gt; Audios Telefonía - MECAL</t>
  </si>
  <si>
    <t>Audios Telefonía - MECAR</t>
  </si>
  <si>
    <t>Planta Nacional &gt; Audios Telefonía - MECAR</t>
  </si>
  <si>
    <t>Audios Telefonía - MECUC</t>
  </si>
  <si>
    <t>Planta Nacional &gt; Audios Telefonía - MECUC</t>
  </si>
  <si>
    <t>Audios Telefonía - MEMAZ</t>
  </si>
  <si>
    <t>Planta Nacional &gt; Audios Telefonía - MEMAZ</t>
  </si>
  <si>
    <t>Audios Telefonía - MEMOT</t>
  </si>
  <si>
    <t>Planta Nacional &gt; Audios Telefonía - MEMOT</t>
  </si>
  <si>
    <t>Audios Telefonía - MENEV</t>
  </si>
  <si>
    <t>Planta Nacional &gt; Audios Telefonía - MENEV</t>
  </si>
  <si>
    <t>Audios Telefonía - MEPAS</t>
  </si>
  <si>
    <t>Planta Nacional &gt; Audios Telefonía - MEPAS</t>
  </si>
  <si>
    <t>Audios Telefonía - MEPER</t>
  </si>
  <si>
    <t>Planta Nacional &gt; Audios Telefonía - MEPER</t>
  </si>
  <si>
    <t>Audios Telefonía - MEPOY</t>
  </si>
  <si>
    <t>Planta Nacional &gt; Audios Telefonía - MEPOY</t>
  </si>
  <si>
    <t>Audios Telefonía - MESAN</t>
  </si>
  <si>
    <t>Planta Nacional &gt; Audios Telefonía - MESAN</t>
  </si>
  <si>
    <t>Audios Telefonía - MESOA</t>
  </si>
  <si>
    <t>Planta Nacional &gt; Audios Telefonía - MESOA</t>
  </si>
  <si>
    <t>Audios Telefonía - METIB</t>
  </si>
  <si>
    <t>Planta Nacional &gt; Audios Telefonía - METIB</t>
  </si>
  <si>
    <t>Audios Telefonía - METUN</t>
  </si>
  <si>
    <t>Planta Nacional &gt; Audios Telefonía - METUN</t>
  </si>
  <si>
    <t>Audios Telefonía - MEVAL</t>
  </si>
  <si>
    <t>Planta Nacional &gt; Audios Telefonía - MEVAL</t>
  </si>
  <si>
    <t>Audios Telefonía - MEVIL</t>
  </si>
  <si>
    <t>Planta Nacional &gt; Audios Telefonía - MEVIL</t>
  </si>
  <si>
    <t>Control de Ocupación - MEBAR</t>
  </si>
  <si>
    <t>Planta Nacional &gt; Control de Ocupación - MEBAR</t>
  </si>
  <si>
    <t>Control de Ocupación - MEBOG</t>
  </si>
  <si>
    <t>Planta Nacional &gt; Control de Ocupación - MEBOG</t>
  </si>
  <si>
    <t>Control de Ocupación - MECAL</t>
  </si>
  <si>
    <t>Planta Nacional &gt; Control de Ocupación - MECAL</t>
  </si>
  <si>
    <t>Control de Ocupación - MECAR</t>
  </si>
  <si>
    <t>Planta Nacional &gt; Control de Ocupación - MECAR</t>
  </si>
  <si>
    <t>Control de Ocupación - MECUC</t>
  </si>
  <si>
    <t>Planta Nacional &gt; Control de Ocupación - MECUC</t>
  </si>
  <si>
    <t>Control de Ocupación - MEMAZ</t>
  </si>
  <si>
    <t>Planta Nacional &gt; Control de Ocupación - MEMAZ</t>
  </si>
  <si>
    <t>Control de Ocupación - MEMOT</t>
  </si>
  <si>
    <t>Planta Nacional &gt; Control de Ocupación - MEMOT</t>
  </si>
  <si>
    <t>Control de Ocupación - MENEV</t>
  </si>
  <si>
    <t>Planta Nacional &gt; Control de Ocupación - MENEV</t>
  </si>
  <si>
    <t>Control de Ocupación - MEPAS</t>
  </si>
  <si>
    <t>Planta Nacional &gt; Control de Ocupación - MEPAS</t>
  </si>
  <si>
    <t>Control de Ocupación - MEPER</t>
  </si>
  <si>
    <t>Planta Nacional &gt; Control de Ocupación - MEPER</t>
  </si>
  <si>
    <t>Control de Ocupación - MEPOY</t>
  </si>
  <si>
    <t>Planta Nacional &gt; Control de Ocupación - MEPOY</t>
  </si>
  <si>
    <t>Control de Ocupación - MESAN</t>
  </si>
  <si>
    <t>Planta Nacional &gt; Control de Ocupación - MESAN</t>
  </si>
  <si>
    <t>Control de Ocupación - MESOA</t>
  </si>
  <si>
    <t>Planta Nacional &gt; Control de Ocupación - MESOA</t>
  </si>
  <si>
    <t>Control de Ocupación - METIB</t>
  </si>
  <si>
    <t>Planta Nacional &gt; Control de Ocupación - METIB</t>
  </si>
  <si>
    <t>Control de Ocupación - METUN</t>
  </si>
  <si>
    <t>Planta Nacional &gt; Control de Ocupación - METUN</t>
  </si>
  <si>
    <t>Control de Ocupación - MEVAL</t>
  </si>
  <si>
    <t>Planta Nacional &gt; Control de Ocupación - MEVAL</t>
  </si>
  <si>
    <t>Control de Ocupación - MEVIL</t>
  </si>
  <si>
    <t>Planta Nacional &gt; Control de Ocupación - MEVIL</t>
  </si>
  <si>
    <t>Formulario Carga Reporte Webex</t>
  </si>
  <si>
    <t>Planta Nacional &gt; Formulario Carga Reporte Webex</t>
  </si>
  <si>
    <t>Planta Nacional &gt; Planta Nacional</t>
  </si>
  <si>
    <t>Rendimiento y Gestión de Llamadas - MEBAR</t>
  </si>
  <si>
    <t>Planta Nacional &gt; Rendimiento y Gestión de Llamadas - MEBAR</t>
  </si>
  <si>
    <t xml:space="preserve">pon-prod-pn-rendimiento-gestion-llamadas
</t>
  </si>
  <si>
    <t xml:space="preserve">pon-prod-pn-rendimiento-gestion-llamadas
</t>
  </si>
  <si>
    <t>Rendimiento y Gestión de Llamadas</t>
  </si>
  <si>
    <t>Rendimiento y Gestión de Llamadas - MEBOG</t>
  </si>
  <si>
    <t>Planta Nacional &gt; Rendimiento y Gestión de Llamadas - MEBOG</t>
  </si>
  <si>
    <t>Rendimiento y Gestión de Llamadas - MECAL</t>
  </si>
  <si>
    <t>Planta Nacional &gt; Rendimiento y Gestión de Llamadas - MECAL</t>
  </si>
  <si>
    <t>Rendimiento y Gestión de Llamadas - MECAR</t>
  </si>
  <si>
    <t>Planta Nacional &gt; Rendimiento y Gestión de Llamadas - MECAR</t>
  </si>
  <si>
    <t>Rendimiento y Gestión de Llamadas - MECUC</t>
  </si>
  <si>
    <t>Planta Nacional &gt; Rendimiento y Gestión de Llamadas - MECUC</t>
  </si>
  <si>
    <t>Rendimiento y Gestión de Llamadas - MEMAZ</t>
  </si>
  <si>
    <t>Planta Nacional &gt; Rendimiento y Gestión de Llamadas - MEMAZ</t>
  </si>
  <si>
    <t>Rendimiento y Gestión de Llamadas - MEMOT</t>
  </si>
  <si>
    <t>Planta Nacional &gt; Rendimiento y Gestión de Llamadas - MEMOT</t>
  </si>
  <si>
    <t>Rendimiento y Gestión de Llamadas - MENEV</t>
  </si>
  <si>
    <t>Planta Nacional &gt; Rendimiento y Gestión de Llamadas - MENEV</t>
  </si>
  <si>
    <t>Rendimiento y Gestión de Llamadas - MEPAS</t>
  </si>
  <si>
    <t>Planta Nacional &gt; Rendimiento y Gestión de Llamadas - MEPAS</t>
  </si>
  <si>
    <t>Rendimiento y Gestión de Llamadas - MEPER</t>
  </si>
  <si>
    <t>Planta Nacional &gt; Rendimiento y Gestión de Llamadas - MEPER</t>
  </si>
  <si>
    <t>Rendimiento y Gestión de Llamadas - MEPOY</t>
  </si>
  <si>
    <t>Planta Nacional &gt; Rendimiento y Gestión de Llamadas - MEPOY</t>
  </si>
  <si>
    <t>Rendimiento y Gestión de Llamadas - MESAN</t>
  </si>
  <si>
    <t>Planta Nacional &gt; Rendimiento y Gestión de Llamadas - MESAN</t>
  </si>
  <si>
    <t>Rendimiento y Gestión de Llamadas - MESOA</t>
  </si>
  <si>
    <t>Planta Nacional &gt; Rendimiento y Gestión de Llamadas - MESOA</t>
  </si>
  <si>
    <t>Rendimiento y Gestión de Llamadas - METIB</t>
  </si>
  <si>
    <t>Planta Nacional &gt; Rendimiento y Gestión de Llamadas - METIB</t>
  </si>
  <si>
    <t>Rendimiento y Gestión de Llamadas - METUN</t>
  </si>
  <si>
    <t>Planta Nacional &gt; Rendimiento y Gestión de Llamadas - METUN</t>
  </si>
  <si>
    <t>Rendimiento y Gestión de Llamadas - MEVAL</t>
  </si>
  <si>
    <t>Planta Nacional &gt; Rendimiento y Gestión de Llamadas - MEVAL</t>
  </si>
  <si>
    <t>Rendimiento y Gestión de Llamadas - MEVIL</t>
  </si>
  <si>
    <t>Planta Nacional &gt; Rendimiento y Gestión de Llamadas - MEVIL</t>
  </si>
  <si>
    <t>Reporte Regional Llamadas - MEBAR</t>
  </si>
  <si>
    <t>Planta Nacional &gt; Reporte Regional Llamadas - MEBAR</t>
  </si>
  <si>
    <t xml:space="preserve">pon-prod-pn-reporte-regional-llamadas
</t>
  </si>
  <si>
    <t>v_pedido, v_llamadas_limpias, clasificacion_llamada, v_calls_version_2</t>
  </si>
  <si>
    <t>Reporte Regional Llamadas - MECAL</t>
  </si>
  <si>
    <t>Planta Nacional &gt; Reporte Regional Llamadas - MECAL</t>
  </si>
  <si>
    <t>Reporte Regional Llamadas - MECAR</t>
  </si>
  <si>
    <t>Planta Nacional &gt; Reporte Regional Llamadas - MECAR</t>
  </si>
  <si>
    <t>Reporte Regional Llamadas - MECUC</t>
  </si>
  <si>
    <t>Planta Nacional &gt; Reporte Regional Llamadas - MECUC</t>
  </si>
  <si>
    <t>Reporte Regional Llamadas - MEMAZ</t>
  </si>
  <si>
    <t>Planta Nacional &gt; Reporte Regional Llamadas - MEMAZ</t>
  </si>
  <si>
    <t>Reporte Regional Llamadas - MEMOT</t>
  </si>
  <si>
    <t>Planta Nacional &gt; Reporte Regional Llamadas - MEMOT</t>
  </si>
  <si>
    <t>Reporte Regional Llamadas - MENEV</t>
  </si>
  <si>
    <t>Planta Nacional &gt; Reporte Regional Llamadas - MENEV</t>
  </si>
  <si>
    <t>Reporte Regional Llamadas - MEPAS</t>
  </si>
  <si>
    <t>Planta Nacional &gt; Reporte Regional Llamadas - MEPAS</t>
  </si>
  <si>
    <t>Reporte Regional Llamadas - MEPER</t>
  </si>
  <si>
    <t>Planta Nacional &gt; Reporte Regional Llamadas - MEPER</t>
  </si>
  <si>
    <t>Reporte Regional Llamadas - MEPOY</t>
  </si>
  <si>
    <t>Planta Nacional &gt; Reporte Regional Llamadas - MEPOY</t>
  </si>
  <si>
    <t>Reporte Regional Llamadas - MESAN</t>
  </si>
  <si>
    <t>Planta Nacional &gt; Reporte Regional Llamadas - MESAN</t>
  </si>
  <si>
    <t>Reporte Regional Llamadas - MESOA</t>
  </si>
  <si>
    <t>Planta Nacional &gt; Reporte Regional Llamadas - MESOA</t>
  </si>
  <si>
    <t>Reporte Regional Llamadas - METIB</t>
  </si>
  <si>
    <t>Planta Nacional &gt; Reporte Regional Llamadas - METIB</t>
  </si>
  <si>
    <t>Reporte Regional Llamadas - METUN</t>
  </si>
  <si>
    <t>Planta Nacional &gt; Reporte Regional Llamadas - METUN</t>
  </si>
  <si>
    <t>Reporte Regional Llamadas - MEVAL</t>
  </si>
  <si>
    <t>Planta Nacional &gt; Reporte Regional Llamadas - MEVAL</t>
  </si>
  <si>
    <t>Reporte Regional Llamadas - MEVIL</t>
  </si>
  <si>
    <t>Planta Nacional &gt; Reporte Regional Llamadas - MEVIL</t>
  </si>
  <si>
    <t>Registro de Actuaciones Policiales &gt; Registro de Actuaciones Policiales</t>
  </si>
  <si>
    <t>Monitoreo Componentes</t>
  </si>
  <si>
    <t>Tableros de Monitoreo &gt; Monitoreo Componentes</t>
  </si>
  <si>
    <t>1d37ec06-7af2-43a0-8cab-c3c6dff50e78</t>
  </si>
  <si>
    <t>Reporte PBX nacional</t>
  </si>
  <si>
    <t>Tableros de Monitoreo &gt; Reporte PBX nacional</t>
  </si>
  <si>
    <t>f07731c2-230b-4047-9e82-1c462c7245fc</t>
  </si>
  <si>
    <t>pbx_repor_nacional</t>
  </si>
  <si>
    <t>pbx_cdr,clasificacion_llamada</t>
  </si>
  <si>
    <t>Tablero de Control de Servicios.</t>
  </si>
  <si>
    <t>Tableros de Monitoreo &gt; Tablero de Control de Servicios.</t>
  </si>
  <si>
    <t>Tableros de Monitoreo &gt; Tableros de Monitoreo</t>
  </si>
  <si>
    <t>Tipo</t>
  </si>
  <si>
    <t>Total Inventario</t>
  </si>
  <si>
    <t>Eliminados</t>
  </si>
  <si>
    <t>Sin Eliminar</t>
  </si>
  <si>
    <t>Porcentaje Eliminado</t>
  </si>
  <si>
    <t>Eliminados sin fecha</t>
  </si>
  <si>
    <t>Dashboards</t>
  </si>
  <si>
    <t>Análisis</t>
  </si>
  <si>
    <t>Datasets</t>
  </si>
  <si>
    <t>TOTAL</t>
  </si>
  <si>
    <t>día</t>
  </si>
  <si>
    <t>Dashboards día</t>
  </si>
  <si>
    <t>Análisis día</t>
  </si>
  <si>
    <t>Datasets día</t>
  </si>
  <si>
    <t>Total día</t>
  </si>
  <si>
    <t>Dashboards acumulados</t>
  </si>
  <si>
    <t>Análisis acumulados</t>
  </si>
  <si>
    <t>Datasets acumulados2</t>
  </si>
  <si>
    <t>Acumulado fechado</t>
  </si>
  <si>
    <t>Modulo</t>
  </si>
  <si>
    <t>Nombre Tablero</t>
  </si>
  <si>
    <t>ID Tablero</t>
  </si>
  <si>
    <t>Enlace Tablero</t>
  </si>
  <si>
    <t>ID Analisis</t>
  </si>
  <si>
    <t>Enlace Analisis</t>
  </si>
  <si>
    <t>DataSet con 1 o huerfanos</t>
  </si>
  <si>
    <t>ESTADO</t>
  </si>
  <si>
    <t>NOTAS</t>
  </si>
  <si>
    <t>FECHA</t>
  </si>
  <si>
    <t>PON-PROD-REPORTE</t>
  </si>
  <si>
    <t>4a30e217-1ea9-48e5-96e6-5c7bbfc04b62</t>
  </si>
  <si>
    <t xml:space="preserve"> c88e2784-ca51-4c63-98bf-a3b42067ad8a
</t>
  </si>
  <si>
    <t>ELIMINADO</t>
  </si>
  <si>
    <t>IAPOL Delitos</t>
  </si>
  <si>
    <t>4aff16be-e36c-453e-8881-df424f809bc3</t>
  </si>
  <si>
    <t xml:space="preserve"> e9e9038d-cd8c-433b-b9bb-bdf484d98ec4</t>
  </si>
  <si>
    <t>d696868f-01f0-4378-af32-86652dc0bb7a</t>
  </si>
  <si>
    <t>OK</t>
  </si>
  <si>
    <r>
      <rPr>
        <sz val="10"/>
        <color rgb="FF000000"/>
        <rFont val="Arial"/>
      </rPr>
      <t>Hoja "</t>
    </r>
    <r>
      <rPr>
        <b/>
        <i/>
        <u/>
        <sz val="10"/>
        <color rgb="FF000000"/>
        <rFont val="Arial"/>
      </rPr>
      <t>Sistema Estadístico de Gestión Territorial</t>
    </r>
    <r>
      <rPr>
        <sz val="10"/>
        <color rgb="FF000000"/>
        <rFont val="Arial"/>
      </rPr>
      <t>" sin datos</t>
    </r>
  </si>
  <si>
    <t xml:space="preserve">
</t>
  </si>
  <si>
    <t>pon-prod-interacciones</t>
  </si>
  <si>
    <t>5067868f-7378-46f8-ba4c-efd68d9c6551</t>
  </si>
  <si>
    <t>dd35977f-e560-468c-b4a6-541189610e8f</t>
  </si>
  <si>
    <t>eventos_IAPOL_metricas_uso analysi</t>
  </si>
  <si>
    <t>Boletín Z1</t>
  </si>
  <si>
    <t>56dc545b-0d13-4545-8e18-b9527670d8bc</t>
  </si>
  <si>
    <t>NO ENCONTRADO</t>
  </si>
  <si>
    <t xml:space="preserve"> NO ENCONTRADO</t>
  </si>
  <si>
    <t>Boletin Dosis Minima</t>
  </si>
  <si>
    <t>58504767-9f45-47e2-849c-c466f9834372</t>
  </si>
  <si>
    <t xml:space="preserve"> 1ac25ad5-f462-4d20-afd6-0f4a7c024651</t>
  </si>
  <si>
    <t>pon-prod-cnsc-dosis-minima</t>
  </si>
  <si>
    <t>Riesgos Sociales &gt; Riesgos Sociales</t>
  </si>
  <si>
    <t>985e78f8-88e7-4305-9610-376fe0c3863d</t>
  </si>
  <si>
    <t>bb1ce844-ebfd-4d91-9782-a8174bdabf81</t>
  </si>
  <si>
    <t>pon-prod-ts-informe-datos-sin-modificacion-datalake</t>
  </si>
  <si>
    <t>62eb0032-6842-48b2-84af-8c960e79849f</t>
  </si>
  <si>
    <t xml:space="preserve"> 2303e74a-8deb-4b17-8d5f-41527c5d0c9f</t>
  </si>
  <si>
    <t>REVISAR</t>
  </si>
  <si>
    <t>Sales Overview</t>
  </si>
  <si>
    <t>65da1864-08dd-4b08-9aa9-5db1c5827a7c</t>
  </si>
  <si>
    <t>8fd2dac6-6eeb-404d-812f-04b1f9d7553c</t>
  </si>
  <si>
    <t xml:space="preserve">SaaS-Sales analysis - Build your first dashboard
</t>
  </si>
  <si>
    <t>BoletinZ1_</t>
  </si>
  <si>
    <t>66835bec-0ffe-4ddb-ad82-92989f901671</t>
  </si>
  <si>
    <t xml:space="preserve">BoletinZ1_ </t>
  </si>
  <si>
    <t>pon-prod-iapol-raw-delitos-analisys</t>
  </si>
  <si>
    <t>69e5398e-f7ee-451c-916c-b2d699cd143b</t>
  </si>
  <si>
    <t xml:space="preserve">c245c7ac-ee10-40cd-b4a7-e1e1c4b58705
</t>
  </si>
  <si>
    <t>las dos hojas vacias sin datos</t>
  </si>
  <si>
    <t xml:space="preserve"> pon-prod-sigco-frentes </t>
  </si>
  <si>
    <t xml:space="preserve"> 6764d4e9-7cf7-462a-9fcb-0776ee18bbd9
</t>
  </si>
  <si>
    <t>Pedidos SECAD Dashboard</t>
  </si>
  <si>
    <t>6f01c900-6e72-46b3-8cc9-ac8d527c595e</t>
  </si>
  <si>
    <t xml:space="preserve">Pedidos SECAD Dashboard </t>
  </si>
  <si>
    <t xml:space="preserve">pon-prod-sigco </t>
  </si>
  <si>
    <t>6764d4e9-7cf7-462a-9fcb-0776ee18bbd9</t>
  </si>
  <si>
    <t>pbx_repor_regional</t>
  </si>
  <si>
    <t>6fd49ae1-8c33-4e31-b1eb-baf36a7c9b23</t>
  </si>
  <si>
    <t xml:space="preserve">pbx_repor_regional  </t>
  </si>
  <si>
    <t>llamada_pbx_hc</t>
  </si>
  <si>
    <t>7200be65-3bbd-486b-9f43-ceffa85d7a5d</t>
  </si>
  <si>
    <t xml:space="preserve">NO ENCONTRADO
</t>
  </si>
  <si>
    <t xml:space="preserve">8af667ce-e71f-4ce7-8a07-86a6818d4101
</t>
  </si>
  <si>
    <t>pon-prod-Datos_CCC_140-13</t>
  </si>
  <si>
    <t>7c139bff-82c2-49a6-980e-ddcbe23f3f96</t>
  </si>
  <si>
    <t xml:space="preserve">5e0c8517-320a-4457-8423-7b842dcf8d18
</t>
  </si>
  <si>
    <t>Boletin_TOP_CCC analysis</t>
  </si>
  <si>
    <t>7e6477cf-199c-4127-b9e1-39e43850cb97</t>
  </si>
  <si>
    <t>1ac25ad5-f462-4d20-afd6-0f4a7c024651</t>
  </si>
  <si>
    <t xml:space="preserve">pon-prod-cnsc-dosis-minima
</t>
  </si>
  <si>
    <t>Reporte llamadas nacional año 2024</t>
  </si>
  <si>
    <t>8242646e-f0ce-44c7-b780-3f138491143e</t>
  </si>
  <si>
    <t xml:space="preserve"> c25d27e0-05fe-43e8-a8ca-4aa823dafb84</t>
  </si>
  <si>
    <t>pbx_cdr analysis</t>
  </si>
  <si>
    <t>pon-prod-pbx_repor_regional</t>
  </si>
  <si>
    <t>83aa6cae-8d90-48bb-bd2d-387898865023</t>
  </si>
  <si>
    <t>1af4a670-776c-4c13-8c85-d929aedb7f46</t>
  </si>
  <si>
    <t>pon-prod-pn-reporte_gerencial</t>
  </si>
  <si>
    <t>104359dc-1413-4bee-a9db-b66225711e0e</t>
  </si>
  <si>
    <t>pon-prod-pbx_repor_nacional</t>
  </si>
  <si>
    <t>8dfa04ac-24c5-4b98-8600-9f62b8a4d4e2</t>
  </si>
  <si>
    <t>dff42332-0fc3-41e1-a97c-061e29cbc8a7</t>
  </si>
  <si>
    <t>Informe Gerencial Pedidos SECAD</t>
  </si>
  <si>
    <t>8eb37c3f-345c-4417-bbc1-7f601716ed99</t>
  </si>
  <si>
    <t xml:space="preserve"> c88e2784-ca51-4c63-98bf-a3b42067ad8a</t>
  </si>
  <si>
    <t>97255ec4-0860-4498-864b-8f1e331285e9</t>
  </si>
  <si>
    <t xml:space="preserve">pon-prod-pe-pedidos-emergencia-resto-pais
</t>
  </si>
  <si>
    <t>1913cc21-be20-4337-8935-b760c97c4d26</t>
  </si>
  <si>
    <t>e9e9038d-cd8c-433b-b9bb-bdf484d98ec4</t>
  </si>
  <si>
    <t>b9df5324-e64f-4d75-b056-c0d3f4d10f0a</t>
  </si>
  <si>
    <t>a806c9fb-ce9a-4d79-ad2e-0532e03e0194</t>
  </si>
  <si>
    <t>903fecde-4667-462d-a1e7-76b79d02c2ec1</t>
  </si>
  <si>
    <t>ede1d769-c8f8-4053-aae1-d91d99a91fdc</t>
  </si>
  <si>
    <t xml:space="preserve">pon-prod-cnsc-actores-potenciales
</t>
  </si>
  <si>
    <t>ccde979b-7f8b-422a-9bd1-c62a6e768437</t>
  </si>
  <si>
    <t>382fa305-48e2-412a-b626-52810382cbc7</t>
  </si>
  <si>
    <t>b259c983-82c4-4e5c-97f5-a736a4bda20b</t>
  </si>
  <si>
    <t xml:space="preserve"> dd35977f-e560-468c-b4a6-541189610e8f</t>
  </si>
  <si>
    <t>eventos_IAPOL_metricas_uso analysis</t>
  </si>
  <si>
    <t>c88e2784-ca51-4c63-98bf-a3b42067ad8a</t>
  </si>
  <si>
    <t>Boletín Panorama Nacional</t>
  </si>
  <si>
    <t>b6401373-54bb-46ba-81c0-c45b9f080e5b</t>
  </si>
  <si>
    <t>prueba</t>
  </si>
  <si>
    <t>bd6a90f1-8745-4312-8707-05153048c7d3</t>
  </si>
  <si>
    <t>5a30ddc4-203f-428b-baff-0140441de259</t>
  </si>
  <si>
    <t>test_publicacion</t>
  </si>
  <si>
    <t>be796502-3275-479f-aae4-6bfcfc45bc12</t>
  </si>
  <si>
    <t xml:space="preserve"> 7672ab62-ef51-43b4-a124-eda0f5c3357d</t>
  </si>
  <si>
    <t>irisp analysis</t>
  </si>
  <si>
    <t>Informacion General</t>
  </si>
  <si>
    <t>beb5439d-f93b-4756-879b-59db3bcbc75e</t>
  </si>
  <si>
    <t>pon-prod-pe-pedidos-analisis-estadistico-mebog-panel</t>
  </si>
  <si>
    <t>beb633ff-4feb-4b1f-9cdb-2267e08518f8</t>
  </si>
  <si>
    <t xml:space="preserve">84014aad-b9b8-4332-bd8d-50acd2f4ad75
</t>
  </si>
  <si>
    <t>pon-prod-pe-pedidos-mebog</t>
  </si>
  <si>
    <t>v_mebog_2</t>
  </si>
  <si>
    <t>07658da9-d757-4f8f-9772-50131d9de9e1</t>
  </si>
  <si>
    <t>Analisis-dic-2023</t>
  </si>
  <si>
    <t>c3932ea4-ef5e-44eb-a3fc-c52bf4d2a001</t>
  </si>
  <si>
    <t xml:space="preserve"> 1913cc21-be20-4337-8935-b760c97c4d26</t>
  </si>
  <si>
    <t>pon-prod-dm-comparativo-semana-madre</t>
  </si>
  <si>
    <t>d1cd36ae-8305-4ebe-9047-48b70f35ccbe</t>
  </si>
  <si>
    <t>irisp</t>
  </si>
  <si>
    <t>51534515-2c96-4157-ba3a-4630811cd1a2</t>
  </si>
  <si>
    <t>Boletin 206-test</t>
  </si>
  <si>
    <t>cb11cdfa-f109-4e8f-9ab4-0b0beed641e3</t>
  </si>
  <si>
    <t>db6a62d1-2d9d-43b4-814c-f4eb7f17eaf6</t>
  </si>
  <si>
    <t>Boletín 206</t>
  </si>
  <si>
    <t>cc137341-0705-4755-8fcb-c508b729c73b</t>
  </si>
  <si>
    <t>boletin206,MedidaSeñalada</t>
  </si>
  <si>
    <t>64f7bde1-b079-49fb-8084-03fbc79841fc</t>
  </si>
  <si>
    <t xml:space="preserve"> 382fa305-48e2-412a-b626-52810382cbc7</t>
  </si>
  <si>
    <t>b5487d70-cd6f-48e9-9453-12863bdb0d9f</t>
  </si>
  <si>
    <t>451d97fa-7874-42ac-bd86-631d92bb6ac2</t>
  </si>
  <si>
    <t>Primer Análisis</t>
  </si>
  <si>
    <t>d9c867f9-6e55-47f9-b782-00ba3fe558c2</t>
  </si>
  <si>
    <t xml:space="preserve"> 84bfe4a1-34c6-456a-b984-fe4ea7a263c3</t>
  </si>
  <si>
    <t>SaaS-Sales analysis - Build your first dashboard</t>
  </si>
  <si>
    <t>Datos_CCC_140-13</t>
  </si>
  <si>
    <t>d9e34ef4-0349-4330-9902-423fa2082ab0</t>
  </si>
  <si>
    <t xml:space="preserve"> 07222feb-9dff-408b-a39a-d335527fb7df</t>
  </si>
  <si>
    <t>pon-prod-expertopol-document-inventory analysis</t>
  </si>
  <si>
    <t>3db09523-982b-4699-9124-90a891e2d495</t>
  </si>
  <si>
    <t xml:space="preserve"> 53256f6b-e7f8-4e5c-a6b3-e9ec4a173ebb</t>
  </si>
  <si>
    <t xml:space="preserve"> 71539772-349a-410c-9b80-4afbbc210f38</t>
  </si>
  <si>
    <t>Visita acompañamiento</t>
  </si>
  <si>
    <t>eb9d194d-6d2b-4ace-ab3b-7464bf3ed1fd</t>
  </si>
  <si>
    <t>f785fb1d-a690-427a-893d-ce29d7c289fd</t>
  </si>
  <si>
    <t>ocupacion_cuadrantes</t>
  </si>
  <si>
    <t>f54ea675-406d-409d-a32b-5282449f7e2a</t>
  </si>
  <si>
    <t>Análisis MEBOG MdP Demo 2023</t>
  </si>
  <si>
    <t>f738f147-9f47-47c8-94eb-caea17e055d2</t>
  </si>
  <si>
    <t>raw_secad</t>
  </si>
  <si>
    <t>fc42f8f1-f040-49a3-af82-b25e68bdbb97</t>
  </si>
  <si>
    <t>aeaf7d1d-ca1a-49f9-a0a5-b144cd69aa9d</t>
  </si>
  <si>
    <t>b6c23e38-4647-44d6-a00c-68eb5a173d76</t>
  </si>
  <si>
    <t>b378d703-661d-41d1-82dd-5b9f40051314</t>
  </si>
  <si>
    <t>dashboard-pedidos-nacionales-v20240921</t>
  </si>
  <si>
    <t>08ee704a-5867-41f0-8193-9b28f2f4fbba</t>
  </si>
  <si>
    <t xml:space="preserve"> e220d74a-8329-4ea5-8c23-dac89f5e0152</t>
  </si>
  <si>
    <t>analisis-pedidos-nacional-v20240921</t>
  </si>
  <si>
    <t>pon-prod-visita-acompañamiento</t>
  </si>
  <si>
    <t>0e232523-dcdd-433b-bafa-0b382f67103f</t>
  </si>
  <si>
    <t xml:space="preserve"> 7423c540-06c8-4478-9466-8d7a00d3d434</t>
  </si>
  <si>
    <t>VisitaAcompañamiento analysis</t>
  </si>
  <si>
    <t>11babd9d-8f83-43eb-8ed3-967cfc0e87e3</t>
  </si>
  <si>
    <t xml:space="preserve"> 91bf75f1-5763-409f-b22c-83657340b113</t>
  </si>
  <si>
    <t>7a62250a-2416-4309-8934-533c82bc1627</t>
  </si>
  <si>
    <t>a40a23da-a102-455c-9546-a8db418857bc</t>
  </si>
  <si>
    <t xml:space="preserve"> 35f0f6fe-0a6e-4b7b-91c7-759b8f048d0b</t>
  </si>
  <si>
    <t>Monitoreo pbx</t>
  </si>
  <si>
    <t>b7bdeb3b-a680-44fb-8180-cb3a9a48652b</t>
  </si>
  <si>
    <t>Estadistica Nacional</t>
  </si>
  <si>
    <t>1e8dab2b-ab32-47b7-8925-9fcb7e4410a8</t>
  </si>
  <si>
    <t>Prueba_metricas</t>
  </si>
  <si>
    <t>2013641f-ae5a-4707-86a7-a8afaa206b2c</t>
  </si>
  <si>
    <t>eed2f6ee-91db-46c4-a9da-fbfed569114a</t>
  </si>
  <si>
    <t>tiene 2 analisis</t>
  </si>
  <si>
    <t>llamadas_pbx_cons</t>
  </si>
  <si>
    <t>2d360a98-1762-4f56-877c-95ae8f250309</t>
  </si>
  <si>
    <t>Primer analisis</t>
  </si>
  <si>
    <t>3180434f-bfbf-4a12-8f16-374157e6ec3d</t>
  </si>
  <si>
    <t xml:space="preserve"> f22c1d89-723d-42b3-94b2-a6f5b977eb29</t>
  </si>
  <si>
    <t>SaaS-Sales (4) analysis</t>
  </si>
  <si>
    <t>373f1fdd-51e7-45b7-baa6-996091fa6a6c</t>
  </si>
  <si>
    <t xml:space="preserve"> 01817696-f389-4457-95aa-c5419e5e5a72</t>
  </si>
  <si>
    <t>fd8ef8ee-7a5a-4252-9ea3-2ef5f6f3562c</t>
  </si>
  <si>
    <t>calidad_servicio_mdp</t>
  </si>
  <si>
    <t>3b257f92-8c1c-4aeb-9b35-84a9b04d0036</t>
  </si>
  <si>
    <t>3c7ee138-5cb0-420c-9e56-e71ea7f27f9b</t>
  </si>
  <si>
    <t xml:space="preserve"> 810198d1-55d3-4cd1-9136-e522707b1094</t>
  </si>
  <si>
    <t>5a17d77e-0fcb-4ec5-a37e-806ff11be56b</t>
  </si>
  <si>
    <t>tablero_alertas_delitos</t>
  </si>
  <si>
    <t>3ce0feb4-ddfd-4c58-962f-d8f5f40ea5b0</t>
  </si>
  <si>
    <t xml:space="preserve"> b7bdeb3b-a680-44fb-8180-cb3a9a48652b</t>
  </si>
  <si>
    <t>registro_homicidios1.csv analysis</t>
  </si>
  <si>
    <t>Preguntas mas frecuentes</t>
  </si>
  <si>
    <t>3d756e15-326b-4198-b520-6e9757b63a8b</t>
  </si>
  <si>
    <t xml:space="preserve"> 79cec02d-1c87-4d2f-9ffa-a536e95f4360</t>
  </si>
  <si>
    <t>preguntas_frecuentes</t>
  </si>
  <si>
    <t>0013c323-265d-4aa4-a17e-16112b86a58c</t>
  </si>
  <si>
    <t>Consulta estructura nacional</t>
  </si>
  <si>
    <t>4437ab0f-cb86-4a5b-b19a-595bc5ed86fd</t>
  </si>
  <si>
    <t xml:space="preserve"> 4892640a-ae9c-433f-ad24-2867673ec847</t>
  </si>
  <si>
    <t>estructura_nacional analysis</t>
  </si>
  <si>
    <t>9884218c-7517-45dd-93b0-394e232112fa</t>
  </si>
  <si>
    <t>b2d24bed-3501-4640-b6a8-7b642803dc2b</t>
  </si>
  <si>
    <t>pbx_clasif_gerencial</t>
  </si>
  <si>
    <t>461ff4ee-1ab5-4509-a0b5-ecfe3b7bd0a8</t>
  </si>
  <si>
    <t>pbx_cdr</t>
  </si>
  <si>
    <t>Mediacion_policial_descarga</t>
  </si>
  <si>
    <t>46b6257f-b090-4de8-a2bf-0c44704df200</t>
  </si>
  <si>
    <t>datos_descargar_mediacion</t>
  </si>
  <si>
    <t>pon-prod-DPON-PROD-REPORTE</t>
  </si>
  <si>
    <t>Name</t>
  </si>
  <si>
    <t>llamada_autoupdate analysis</t>
  </si>
  <si>
    <t>00f1ad15-28d8-4198-88ed-89fe41271fa7</t>
  </si>
  <si>
    <t>People Overview analysis</t>
  </si>
  <si>
    <t>00f59ae6-b754-4b11-adb0-4604a46806ed</t>
  </si>
  <si>
    <t>01817696-f389-4457-95aa-c5419e5e5a72</t>
  </si>
  <si>
    <t>https://us-east-1.quicksight.aws.amazon.com/sn/analyses/01817696-f389-4457-95aa-c5419e5e5a72</t>
  </si>
  <si>
    <t>delitos_agrupaciones analysis</t>
  </si>
  <si>
    <t>019969af-7fcb-4d74-995f-c92df4fe505a</t>
  </si>
  <si>
    <t>auditoria_version1 analysis</t>
  </si>
  <si>
    <t>02922c14-a1a2-4f09-a9c9-1cd5a5b8f7fb</t>
  </si>
  <si>
    <t>v_pedido analysis</t>
  </si>
  <si>
    <t>034c6a7e-afd6-4ebd-81c9-5bbf2ac7131e</t>
  </si>
  <si>
    <t>vista_acuerdos_con_y_sin_seguimiento analysis</t>
  </si>
  <si>
    <t>06552125-60ec-4e1d-82a1-1907ddbad3af</t>
  </si>
  <si>
    <t>mdp_limpio_estaciones analysis</t>
  </si>
  <si>
    <t>06a617c0-85c9-47a7-8c22-f1020b03c970</t>
  </si>
  <si>
    <t>medidas_autos_intervinientes_s3 analysis</t>
  </si>
  <si>
    <t>06e234e5-dd7b-45cb-92f7-bdf3db131051</t>
  </si>
  <si>
    <t>06f353a4-ec26-4956-89a9-c930d4ccde4d</t>
  </si>
  <si>
    <t>07222feb-9dff-408b-a39a-d335527fb7df</t>
  </si>
  <si>
    <t>2024.xlsx analysis</t>
  </si>
  <si>
    <t>084dfd4e-38f3-471f-b5ef-128333a175aa</t>
  </si>
  <si>
    <t>eventos_IAPOL analysis</t>
  </si>
  <si>
    <t>08a51e2a-1aab-4b87-b9d1-2eeddece8cec</t>
  </si>
  <si>
    <t>https://us-east-1.quicksight.aws.amazon.com/sn/analyses/08a51e2a-1aab-4b87-b9d1-2eeddece8cec</t>
  </si>
  <si>
    <t>Business Review analysis</t>
  </si>
  <si>
    <t>08ce81da-8212-4760-9c79-b243c7f39fc0</t>
  </si>
  <si>
    <t>09296b9e-0f63-4fc9-bcbf-e186d6eb505b</t>
  </si>
  <si>
    <t>Web and Social Media Analytics analysis</t>
  </si>
  <si>
    <t>092abb3f-d986-4f88-872b-61e4a3666b96</t>
  </si>
  <si>
    <t>0956d6b3-5c91-4294-ad2c-6a5f6d01bde4</t>
  </si>
  <si>
    <t>09b15baa-7346-4161-8001-8a73334c3ff3</t>
  </si>
  <si>
    <t>usuarios_creados_iapol analysis</t>
  </si>
  <si>
    <t>0b62e39a-5cd8-408f-9921-37322828cfec</t>
  </si>
  <si>
    <t>POLICIAS INFRACTORES 15072024.xlsx analysis</t>
  </si>
  <si>
    <t>0cd4eec8-aadc-4556-88de-2bd50fe374d7</t>
  </si>
  <si>
    <t>POLICIAS INFRACTORES 15072024.xlsx analysishttps://us-east-1.quicksight.aws.amazon.com/sn/account/mdp-ponal/analyses/0b62e39a-5cd8-408f-9921-37322828cfec#</t>
  </si>
  <si>
    <t>0d11074a-ea96-4547-88e7-afabdc7a817c</t>
  </si>
  <si>
    <t>0decc18f-735a-4ff5-b5b3-b7c24759ea22</t>
  </si>
  <si>
    <t>HOMICIDIOS analysis</t>
  </si>
  <si>
    <t>0e7df998-bffc-45f9-924d-4f3a89d70d07</t>
  </si>
  <si>
    <t>0eee7491-b475-4c34-bcd5-23add04f7f7e</t>
  </si>
  <si>
    <t>Sales Pipeline analysis</t>
  </si>
  <si>
    <t>0ef918e7-827d-439e-af6a-089104e27884</t>
  </si>
  <si>
    <t>https://us-east-1.quicksight.aws.amazon.com/sn/analyses/0ef918e7-827d-439e-af6a-089104e27884</t>
  </si>
  <si>
    <t>0f9472f2-d0de-4a99-a073-0571819badc7</t>
  </si>
  <si>
    <t>datos_simples_estructura_nacional analysis</t>
  </si>
  <si>
    <t>1036b540-0e07-4fed-ae0e-af6a9aa5fa1f</t>
  </si>
  <si>
    <t>SaaS-Sales.csv analysis</t>
  </si>
  <si>
    <t>11a6b086-a7b3-4ebe-a409-8dbfff8838f4</t>
  </si>
  <si>
    <t>https://us-east-1.quicksight.aws.amazon.com/sn/analyses/11a6b086-a7b3-4ebe-a409-8dbfff8838f4</t>
  </si>
  <si>
    <t>delitos_categorias (2).xlsx analysis</t>
  </si>
  <si>
    <t>141dffa7-fff9-4def-bc83-beff7284e53c</t>
  </si>
  <si>
    <t>158378e0-ded9-41a0-802a-5c8fe024ed87</t>
  </si>
  <si>
    <t>reuniones_situ_v2 analysis</t>
  </si>
  <si>
    <t>15a96e96-8c73-459e-8473-35a4009af7dd</t>
  </si>
  <si>
    <t>166e60ed-bf4d-41ec-a0bd-e21a21e4e23d</t>
  </si>
  <si>
    <t>1676fd2d-f3be-43f2-86ca-3224058c7a3d</t>
  </si>
  <si>
    <t>18a2da65-d202-43c6-b71c-73a749f006e0</t>
  </si>
  <si>
    <t>https://us-east-1.quicksight.aws.amazon.com/sn/analyses/18a2da65-d202-43c6-b71c-73a749f006e0</t>
  </si>
  <si>
    <t>18bc00ce-9141-4502-919d-fe948dffc01d</t>
  </si>
  <si>
    <t>https://us-east-1.quicksight.aws.amazon.com/sn/analyses/18bc00ce-9141-4502-919d-fe948dffc01d</t>
  </si>
  <si>
    <t>18bf6cc1-2015-4806-942a-a4f0915a6122</t>
  </si>
  <si>
    <t>event_table analysis</t>
  </si>
  <si>
    <t>18fdac07-d2cb-4af9-9f4e-34a1e5f67563</t>
  </si>
  <si>
    <t>199f4cc8-a748-4884-b1dc-67d739d3411c</t>
  </si>
  <si>
    <t>https://us-east-1.quicksight.aws.amazon.com/sn/analyses/1ac25ad5-f462-4d20-afd6-0f4a7c024651</t>
  </si>
  <si>
    <t>1b6fc73f-3559-4a09-aa78-c2d6afcb3d62</t>
  </si>
  <si>
    <t>https://us-east-1.quicksight.aws.amazon.com/sn/analyses/1b6fc73f-3559-4a09-aa78-c2d6afcb3d62</t>
  </si>
  <si>
    <t>1bd343eb-1d1c-4439-9268-5a54ed4b9f41</t>
  </si>
  <si>
    <t>1c7f9965-2a8f-408e-b957-7469c511d682</t>
  </si>
  <si>
    <t>https://us-east-1.quicksight.aws.amazon.com/sn/analyses/1c7f9965-2a8f-408e-b957-7469c511d682</t>
  </si>
  <si>
    <t>1e0939c9-481d-4012-8e9a-b545f3adb91d</t>
  </si>
  <si>
    <t>vw_delitos_corregido_schema_temporal analysis</t>
  </si>
  <si>
    <t>1e86891f-76a1-46c8-8852-e55b40329f10</t>
  </si>
  <si>
    <t>1eca767a-5443-4cc4-b743-fa508d07d235</t>
  </si>
  <si>
    <t>2186c278-7360-4e86-88b2-18cea2b40888</t>
  </si>
  <si>
    <t>2192c273-92e8-49d8-9457-76d5fecf7ac8</t>
  </si>
  <si>
    <t>21af5185-066b-43ff-b35f-aa5a7b9bfee8</t>
  </si>
  <si>
    <t>22e53ae0-f432-488b-92c5-72bd9ed2c02d</t>
  </si>
  <si>
    <t>2303e74a-8deb-4b17-8d5f-41527c5d0c9f</t>
  </si>
  <si>
    <t>PENDIENTE</t>
  </si>
  <si>
    <t>246d3d10-f846-4144-b3f9-0da3e7aa2f94</t>
  </si>
  <si>
    <t>My_First_Time</t>
  </si>
  <si>
    <t>25e9671e-1fb3-4563-962d-c378c3441390</t>
  </si>
  <si>
    <t>SaaS-Sales (2) analysis</t>
  </si>
  <si>
    <t>2736de63-f9ff-4ccd-bda8-076ae063a44d</t>
  </si>
  <si>
    <t>https://us-east-1.quicksight.aws.amazon.com/sn/analyses/2736de63-f9ff-4ccd-bda8-076ae063a44d</t>
  </si>
  <si>
    <t>27eb8302-a457-45f4-83cb-cbd79873d3ab</t>
  </si>
  <si>
    <t>282bdc4a-e4af-4446-ad94-7aae1929ae5b</t>
  </si>
  <si>
    <t>2b4e044c-9460-461c-90e6-6f2f34a7e2ff</t>
  </si>
  <si>
    <t>IAPOL Certifications analysis</t>
  </si>
  <si>
    <t>2d1eb7f9-4493-4fa6-ae0e-978ef42128ca</t>
  </si>
  <si>
    <t>2e4d597c-e5b5-4500-b33e-903301753778</t>
  </si>
  <si>
    <t>https://us-east-1.quicksight.aws.amazon.com/sn/analyses/2e4d597c-e5b5-4500-b33e-903301753778</t>
  </si>
  <si>
    <t>3132e971-90c1-4a8c-ace1-f346381ed3ae</t>
  </si>
  <si>
    <t>32462472-189e-41bc-8b1f-dd7eb371851c</t>
  </si>
  <si>
    <t>https://us-east-1.quicksight.aws.amazon.com/sn/analyses/32462472-189e-41bc-8b1f-dd7eb371851c</t>
  </si>
  <si>
    <t>solicitud_medida_2 analysis</t>
  </si>
  <si>
    <t>336077a7-c3cc-4804-b7ac-425cf38aee40</t>
  </si>
  <si>
    <t>33b6bf92-c2ae-4c91-ba0a-31b9638c8c07</t>
  </si>
  <si>
    <t>https://us-east-1.quicksight.aws.amazon.com/sn/analyses/33b6bf92-c2ae-4c91-ba0a-31b9638c8c07</t>
  </si>
  <si>
    <t>v_control_files analysis</t>
  </si>
  <si>
    <t>33e22983-856f-471b-b590-e002380bb678</t>
  </si>
  <si>
    <t>https://us-east-1.quicksight.aws.amazon.com/sn/analyses/33e22983-856f-471b-b590-e002380bb678</t>
  </si>
  <si>
    <t>Andes de prueba IAPOL</t>
  </si>
  <si>
    <t>346f98eb-bb89-401b-b1b0-59ec0e1d53ea</t>
  </si>
  <si>
    <t>34c17147-a7ff-4e93-9c08-805440bfa769</t>
  </si>
  <si>
    <t>https://us-east-1.quicksight.aws.amazon.com/sn/analyses/34c17147-a7ff-4e93-9c08-805440bfa769</t>
  </si>
  <si>
    <t>35f0f6fe-0a6e-4b7b-91c7-759b8f048d0b</t>
  </si>
  <si>
    <t>https://us-east-1.quicksight.aws.amazon.com/sn/analyses/35f0f6fe-0a6e-4b7b-91c7-759b8f048d0b</t>
  </si>
  <si>
    <t>36dc25fb-9296-4d51-98d0-0598610e4101</t>
  </si>
  <si>
    <t>https://us-east-1.quicksight.aws.amazon.com/sn/analyses/36dc25fb-9296-4d51-98d0-0598610e4101</t>
  </si>
  <si>
    <t>3787e483-ea5e-4b29-8aa1-29ce613f7a84</t>
  </si>
  <si>
    <t>https://us-east-1.quicksight.aws.amazon.com/sn/analyses/3787e483-ea5e-4b29-8aa1-29ce613f7a84</t>
  </si>
  <si>
    <t>https://us-east-1.quicksight.aws.amazon.com/sn/analyses/382fa305-48e2-412a-b626-52810382cbc7</t>
  </si>
  <si>
    <t>38561760-f241-4e46-ab79-83b0229b49f5</t>
  </si>
  <si>
    <t>https://us-east-1.quicksight.aws.amazon.com/sn/analyses/38561760-f241-4e46-ab79-83b0229b49f5</t>
  </si>
  <si>
    <t>38bbe1c5-4171-422c-955d-013808e65d68</t>
  </si>
  <si>
    <t>https://us-east-1.quicksight.aws.amazon.com/sn/analyses/38bbe1c5-4171-422c-955d-013808e65d68</t>
  </si>
  <si>
    <t>3935e580-52a2-465d-9b24-fb6f3a818c01</t>
  </si>
  <si>
    <t>https://us-east-1.quicksight.aws.amazon.com/sn/analyses/3935e580-52a2-465d-9b24-fb6f3a818c01</t>
  </si>
  <si>
    <t>394a2472-49b2-4e0a-a09a-4be8e1d85038</t>
  </si>
  <si>
    <t>https://us-east-1.quicksight.aws.amazon.com/sn/analyses/394a2472-49b2-4e0a-a09a-4be8e1d85038</t>
  </si>
  <si>
    <t>394cd560-8036-496c-b955-af34ba29778d</t>
  </si>
  <si>
    <t>3a0177e5-af3e-46f5-89b5-33308c8a048a</t>
  </si>
  <si>
    <t>https://us-east-1.quicksight.aws.amazon.com/sn/analyses/3a0177e5-af3e-46f5-89b5-33308c8a048a</t>
  </si>
  <si>
    <t>3af7b972-323c-4803-aaf9-b5f8dea9f920</t>
  </si>
  <si>
    <t>https://us-east-1.quicksight.aws.amazon.com/sn/analyses/3af7b972-323c-4803-aaf9-b5f8dea9f920</t>
  </si>
  <si>
    <t>3d5e82e0-bbed-4aa7-a3b5-7a1a4b2a7b98</t>
  </si>
  <si>
    <t>https://us-east-1.quicksight.aws.amazon.com/sn/analyses/3d5e82e0-bbed-4aa7-a3b5-7a1a4b2a7b98</t>
  </si>
  <si>
    <t>3e9362b5-2ba8-4d18-8a44-1b7cde7fe814</t>
  </si>
  <si>
    <t>https://us-east-1.quicksight.aws.amazon.com/sn/analyses/3e9362b5-2ba8-4d18-8a44-1b7cde7fe814</t>
  </si>
  <si>
    <t>415d06fc-8852-4838-a07f-03be7f84cf43</t>
  </si>
  <si>
    <t>SaaS-Sales (1).csv analysis</t>
  </si>
  <si>
    <t>41981a9e-30ac-4fb7-a93e-57ef8c63ed85</t>
  </si>
  <si>
    <t>https://us-east-1.quicksight.aws.amazon.com/sn/analyses/41981a9e-30ac-4fb7-a93e-57ef8c63ed85</t>
  </si>
  <si>
    <t>42f30545-16f0-4251-8ee6-4db7b872e00b</t>
  </si>
  <si>
    <t>https://us-east-1.quicksight.aws.amazon.com/sn/analyses/42f30545-16f0-4251-8ee6-4db7b872e00b</t>
  </si>
  <si>
    <t>448940b7-a3d0-47b3-94d7-68b2471b85bb</t>
  </si>
  <si>
    <t>https://us-east-1.quicksight.aws.amazon.com/sn/analyses/448940b7-a3d0-47b3-94d7-68b2471b85bb</t>
  </si>
  <si>
    <t>455aa764-3fad-453b-bf21-cb523af7b61d</t>
  </si>
  <si>
    <t>https://us-east-1.quicksight.aws.amazon.com/sn/analyses/455aa764-3fad-453b-bf21-cb523af7b61d</t>
  </si>
  <si>
    <t>46dccb78-077c-4ae1-a8a2-ee2db0b88e88</t>
  </si>
  <si>
    <t>https://us-east-1.quicksight.aws.amazon.com/sn/analyses/46dccb78-077c-4ae1-a8a2-ee2db0b88e88</t>
  </si>
  <si>
    <t>47356a9e-698a-4987-b617-8c1ee41d472a</t>
  </si>
  <si>
    <t>47460bd0-c23e-4953-8860-3bf3c48fad04</t>
  </si>
  <si>
    <t>https://us-east-1.quicksight.aws.amazon.com/sn/analyses/47460bd0-c23e-4953-8860-3bf3c48fad04</t>
  </si>
  <si>
    <t>4892640a-ae9c-433f-ad24-2867673ec847</t>
  </si>
  <si>
    <t>https://us-east-1.quicksight.aws.amazon.com/sn/analyses/4892640a-ae9c-433f-ad24-2867673ec847</t>
  </si>
  <si>
    <t>48e248b6-2432-4ac9-a340-825cb9a6ffd5</t>
  </si>
  <si>
    <t>49683ccc-ceb5-48be-b167-4173088b2d4a</t>
  </si>
  <si>
    <t>https://us-east-1.quicksight.aws.amazon.com/sn/analyses/49683ccc-ceb5-48be-b167-4173088b2d4a</t>
  </si>
  <si>
    <t>4b6b36f3-c90d-47ae-a4c4-e057f9733d6c</t>
  </si>
  <si>
    <t>https://us-east-1.quicksight.aws.amazon.com/sn/analyses/4b6b36f3-c90d-47ae-a4c4-e057f9733d6c</t>
  </si>
  <si>
    <t>pbx_pruebas</t>
  </si>
  <si>
    <t>4c18616d-0cc4-4f3a-824a-d64e0aa68fe2</t>
  </si>
  <si>
    <t>https://us-east-1.quicksight.aws.amazon.com/sn/analyses/4c18616d-0cc4-4f3a-824a-d64e0aa68fe2</t>
  </si>
  <si>
    <t>pbx_cdr_test analysis</t>
  </si>
  <si>
    <t>4d41a3d1-6372-404b-b802-52a213620807</t>
  </si>
  <si>
    <t>https://us-east-1.quicksight.aws.amazon.com/sn/analyses/4d41a3d1-6372-404b-b802-52a213620807</t>
  </si>
  <si>
    <t>5069ec60-feef-421f-841f-586169028e89</t>
  </si>
  <si>
    <t>50ab3e4d-7202-4492-bedc-72f612131b29</t>
  </si>
  <si>
    <t>https://us-east-1.quicksight.aws.amazon.com/sn/analyses/50ab3e4d-7202-4492-bedc-72f612131b29</t>
  </si>
  <si>
    <t>metricas_iapol_v1</t>
  </si>
  <si>
    <t>5320ed88-29ef-404b-8c62-9131a81d71e6</t>
  </si>
  <si>
    <t>https://us-east-1.quicksight.aws.amazon.com/sn/analyses/5320ed88-29ef-404b-8c62-9131a81d71e6</t>
  </si>
  <si>
    <t>53256f6b-e7f8-4e5c-a6b3-e9ec4a173ebb</t>
  </si>
  <si>
    <t>536c334f-af98-4c33-b4a8-eec1ad780d20</t>
  </si>
  <si>
    <t>https://us-east-1.quicksight.aws.amazon.com/sn/analyses/536c334f-af98-4c33-b4a8-eec1ad780d20</t>
  </si>
  <si>
    <t>53ebc407-aead-4314-be21-8f08f7255d87</t>
  </si>
  <si>
    <t>https://us-east-1.quicksight.aws.amazon.com/sn/analyses/53ebc407-aead-4314-be21-8f08f7255d87</t>
  </si>
  <si>
    <t>consulta_personas.xlsx analysis</t>
  </si>
  <si>
    <t>55007a9a-917b-4604-a118-ece737468ab2</t>
  </si>
  <si>
    <t>https://us-east-1.quicksight.aws.amazon.com/sn/analyses/55007a9a-917b-4604-a118-ece737468ab2</t>
  </si>
  <si>
    <t>55c96aff-1704-431d-80dc-4f35ee080fb1</t>
  </si>
  <si>
    <t>https://us-east-1.quicksight.aws.amazon.com/sn/analyses/55c96aff-1704-431d-80dc-4f35ee080fb1</t>
  </si>
  <si>
    <t>Delitos_analysis_TCK-2024</t>
  </si>
  <si>
    <t>5793e3bb-49bb-417a-8e55-9b105de41837</t>
  </si>
  <si>
    <t>https://us-east-1.quicksight.aws.amazon.com/sn/analyses/5793e3bb-49bb-417a-8e55-9b105de41837</t>
  </si>
  <si>
    <t>pbx analysis</t>
  </si>
  <si>
    <t>58fb04b1-fc00-4615-864e-ea2676f203ba</t>
  </si>
  <si>
    <t>https://us-east-1.quicksight.aws.amazon.com/sn/analyses/58fb04b1-fc00-4615-864e-ea2676f203ba</t>
  </si>
  <si>
    <t>DIRECTORIO FALCOM.xlsx analysis</t>
  </si>
  <si>
    <t>59b63c61-2ae7-4e97-967d-f2f6faf4d6fa</t>
  </si>
  <si>
    <t>https://us-east-1.quicksight.aws.amazon.com/sn/analyses/59b63c61-2ae7-4e97-967d-f2f6faf4d6fa</t>
  </si>
  <si>
    <t>mediacion_situ</t>
  </si>
  <si>
    <t>59f3ed25-acf4-4fec-baf1-962ffbc16bd7</t>
  </si>
  <si>
    <t>https://us-east-1.quicksight.aws.amazon.com/sn/analyses/59f3ed25-acf4-4fec-baf1-962ffbc16bd7</t>
  </si>
  <si>
    <t>5c3162ad-4593-42be-b536-ee12813e0795</t>
  </si>
  <si>
    <t>5e0c8517-320a-4457-8423-7b842dcf8d18</t>
  </si>
  <si>
    <t>https://us-east-1.quicksight.aws.amazon.com/sn/analyses/5e0c8517-320a-4457-8423-7b842dcf8d18</t>
  </si>
  <si>
    <t>5f5612aa-6af3-4d49-bcba-239475e57a24</t>
  </si>
  <si>
    <t>https://us-east-1.quicksight.aws.amazon.com/sn/analyses/5f5612aa-6af3-4d49-bcba-239475e57a24</t>
  </si>
  <si>
    <t>5fa9f8a6-ac60-48db-b04c-2a48c48bb4a9</t>
  </si>
  <si>
    <t>5fc2bb80-2b7c-49d8-96d8-1eb69dca8df3</t>
  </si>
  <si>
    <t>https://us-east-1.quicksight.aws.amazon.com/sn/analyses/5fc2bb80-2b7c-49d8-96d8-1eb69dca8df3</t>
  </si>
  <si>
    <t>medidas_autos_s3_test analysis</t>
  </si>
  <si>
    <t>5fccf446-39d1-4bb2-a109-aa23f7f478d2</t>
  </si>
  <si>
    <t>https://us-east-1.quicksight.aws.amazon.com/sn/analyses/5fccf446-39d1-4bb2-a109-aa23f7f478d2</t>
  </si>
  <si>
    <t>60ed8038-bd40-4e41-8d0a-02723f3afd5b</t>
  </si>
  <si>
    <t>https://us-east-1.quicksight.aws.amazon.com/sn/analyses/60ed8038-bd40-4e41-8d0a-02723f3afd5b</t>
  </si>
  <si>
    <t>events_with_parents analysis</t>
  </si>
  <si>
    <t>62883f18-9f28-4e17-91e1-e54627c7a093</t>
  </si>
  <si>
    <t>https://us-east-1.quicksight.aws.amazon.com/sn/analyses/62883f18-9f28-4e17-91e1-e54627c7a093</t>
  </si>
  <si>
    <t>test-ali</t>
  </si>
  <si>
    <t>63b06c0a-f407-4ac1-a733-a8ebdfa9c441</t>
  </si>
  <si>
    <t>65550d8e-a29b-425b-9ca2-132b71f67615</t>
  </si>
  <si>
    <t>https://us-east-1.quicksight.aws.amazon.com/sn/analyses/65550d8e-a29b-425b-9ca2-132b71f67615</t>
  </si>
  <si>
    <t>SEGUIMIENTO HOMICIDIOS MECAL</t>
  </si>
  <si>
    <t>663a1965-d016-4f5c-b6cd-81349c8281c8</t>
  </si>
  <si>
    <t>https://us-east-1.quicksight.aws.amazon.com/sn/analyses/663a1965-d016-4f5c-b6cd-81349c8281c8</t>
  </si>
  <si>
    <t>6791947b-16d7-46e7-9111-c30a05110e0b</t>
  </si>
  <si>
    <t>Usuarios iapol-sivicc final.xlsx analysis</t>
  </si>
  <si>
    <t>67d59c25-1e63-441f-b473-54a7c717723a</t>
  </si>
  <si>
    <t>https://us-east-1.quicksight.aws.amazon.com/sn/analyses/67d59c25-1e63-441f-b473-54a7c717723a</t>
  </si>
  <si>
    <t>67e63168-328a-45d3-82df-cc1903011566</t>
  </si>
  <si>
    <t>SI NIÑO</t>
  </si>
  <si>
    <t>67ed5fc9-f9c4-47b8-800b-0212bd6588c3</t>
  </si>
  <si>
    <t>https://us-east-1.quicksight.aws.amazon.com/sn/analyses/67ed5fc9-f9c4-47b8-800b-0212bd6588c3</t>
  </si>
  <si>
    <t>6b6ef3f8-666d-4bc0-aced-234d6082b569</t>
  </si>
  <si>
    <t>https://us-east-1.quicksight.aws.amazon.com/sn/analyses/6b6ef3f8-666d-4bc0-aced-234d6082b569</t>
  </si>
  <si>
    <t>6c41a02c-317d-4498-b84e-2b0da528ceb5</t>
  </si>
  <si>
    <t>https://us-east-1.quicksight.aws.amazon.com/sn/analyses/6c41a02c-317d-4498-b84e-2b0da528ceb5</t>
  </si>
  <si>
    <t>6cbfebd1-f8a1-4247-a276-a2e581b59125</t>
  </si>
  <si>
    <t>6d0ac07b-e6b9-4bb6-90e8-cd01f247df25</t>
  </si>
  <si>
    <t>https://us-east-1.quicksight.aws.amazon.com/sn/analyses/6d0ac07b-e6b9-4bb6-90e8-cd01f247df25</t>
  </si>
  <si>
    <t>6f3a8a23-6bf3-4927-baec-406447fd55ea</t>
  </si>
  <si>
    <t>https://us-east-1.quicksight.aws.amazon.com/sn/analyses/6f3a8a23-6bf3-4927-baec-406447fd55ea</t>
  </si>
  <si>
    <t>6f48ecd1-9e97-4ad2-a124-b5e9850a5854</t>
  </si>
  <si>
    <t>https://us-east-1.quicksight.aws.amazon.com/sn/analyses/6f48ecd1-9e97-4ad2-a124-b5e9850a5854</t>
  </si>
  <si>
    <t>70e9b1a7-d97d-440e-8331-369680c6dcc8</t>
  </si>
  <si>
    <t>https://us-east-1.quicksight.aws.amazon.com/sn/analyses/70e9b1a7-d97d-440e-8331-369680c6dcc8</t>
  </si>
  <si>
    <t>71539772-349a-410c-9b80-4afbbc210f38</t>
  </si>
  <si>
    <t>mediacion_persona_2 analysis</t>
  </si>
  <si>
    <t>7227e305-4023-4fe6-84fd-79d51749ccb3</t>
  </si>
  <si>
    <t>https://us-east-1.quicksight.aws.amazon.com/sn/analyses/7227e305-4023-4fe6-84fd-79d51749ccb3</t>
  </si>
  <si>
    <t>72983d73-6060-4950-a3cc-3651bc33c0ab</t>
  </si>
  <si>
    <t>prueba_pbx_2</t>
  </si>
  <si>
    <t>72f0c3d7-deac-4ecd-84d1-9a271dabc9a8</t>
  </si>
  <si>
    <t>https://us-east-1.quicksight.aws.amazon.com/sn/analyses/72f0c3d7-deac-4ecd-84d1-9a271dabc9a8</t>
  </si>
  <si>
    <t>7423c540-06c8-4478-9466-8d7a00d3d434</t>
  </si>
  <si>
    <t>https://us-east-1.quicksight.aws.amazon.com/sn/analyses/7423c540-06c8-4478-9466-8d7a00d3d434</t>
  </si>
  <si>
    <t>7456f19c-d7b8-49f2-88ac-7708e61e64c1</t>
  </si>
  <si>
    <t>https://us-east-1.quicksight.aws.amazon.com/sn/analyses/7456f19c-d7b8-49f2-88ac-7708e61e64c1</t>
  </si>
  <si>
    <t>datos_descargar_mediacion_version_2 analysis</t>
  </si>
  <si>
    <t>75ccef69-2454-45eb-9e72-674afa8635f9</t>
  </si>
  <si>
    <t>https://us-east-1.quicksight.aws.amazon.com/sn/analyses/75ccef69-2454-45eb-9e72-674afa8635f9</t>
  </si>
  <si>
    <t>76624635-a293-4300-aae7-812a3f21ad29</t>
  </si>
  <si>
    <t>https://us-east-1.quicksight.aws.amazon.com/sn/analyses/76624635-a293-4300-aae7-812a3f21ad29</t>
  </si>
  <si>
    <t>7672ab62-ef51-43b4-a124-eda0f5c3357d</t>
  </si>
  <si>
    <t>https://us-east-1.quicksight.aws.amazon.com/sn/analyses/7672ab62-ef51-43b4-a124-eda0f5c3357d</t>
  </si>
  <si>
    <t>SI MAURICIO NIÑO</t>
  </si>
  <si>
    <t>78478143-ca6d-428a-be3a-5380e1a96e7e</t>
  </si>
  <si>
    <t>https://us-east-1.quicksight.aws.amazon.com/sn/analyses/78478143-ca6d-428a-be3a-5380e1a96e7e</t>
  </si>
  <si>
    <t>79cec02d-1c87-4d2f-9ffa-a536e95f4360</t>
  </si>
  <si>
    <t>https://us-east-1.quicksight.aws.amazon.com/sn/analyses/79cec02d-1c87-4d2f-9ffa-a536e95f4360</t>
  </si>
  <si>
    <t>79d13eab-e02f-46cd-be0e-9e1f2b8f25b2</t>
  </si>
  <si>
    <t>https://us-east-1.quicksight.aws.amazon.com/sn/analyses/79d13eab-e02f-46cd-be0e-9e1f2b8f25b2</t>
  </si>
  <si>
    <t>79dcc5c4-0330-47a5-9b3f-4ac70d1a583c</t>
  </si>
  <si>
    <t>https://us-east-1.quicksight.aws.amazon.com/sn/analyses/79dcc5c4-0330-47a5-9b3f-4ac70d1a583c</t>
  </si>
  <si>
    <t>7a91b538-b188-4d97-a8b8-d18f45bd7b3f</t>
  </si>
  <si>
    <t>https://us-east-1.quicksight.aws.amazon.com/sn/analyses/7a91b538-b188-4d97-a8b8-d18f45bd7b3f</t>
  </si>
  <si>
    <t>events_with_parents_2 analysis</t>
  </si>
  <si>
    <t>7db2162f-b186-4fa7-b83d-aa3abd21e34d</t>
  </si>
  <si>
    <t>https://us-east-1.quicksight.aws.amazon.com/sn/analyses/7db2162f-b186-4fa7-b83d-aa3abd21e34d</t>
  </si>
  <si>
    <t>7f28dac8-ba2d-43ea-a0ab-ac98ac3002d3</t>
  </si>
  <si>
    <t>https://us-east-1.quicksight.aws.amazon.com/sn/analyses/7f28dac8-ba2d-43ea-a0ab-ac98ac3002d3</t>
  </si>
  <si>
    <t>7f8529c5-fbd1-4534-a718-4d8a34d37bd6</t>
  </si>
  <si>
    <t>https://us-east-1.quicksight.aws.amazon.com/sn/analyses/7f8529c5-fbd1-4534-a718-4d8a34d37bd6</t>
  </si>
  <si>
    <t>pon-prod-ts-metricas-uso-plataforma</t>
  </si>
  <si>
    <t>7f9bd137-7c90-4e36-a3ea-f9c1de1ea35b</t>
  </si>
  <si>
    <t>Prueba_evaluacion_planes_preventivos_homicidio</t>
  </si>
  <si>
    <t>8020101f-3c82-419a-9cf0-7459cec55355</t>
  </si>
  <si>
    <t>804a6d69-1f53-48cf-816b-f78277097c77</t>
  </si>
  <si>
    <t>808aa6ec-5b31-4763-932e-11949bedfec2</t>
  </si>
  <si>
    <t>https://us-east-1.quicksight.aws.amazon.com/sn/analyses/808aa6ec-5b31-4763-932e-11949bedfec2</t>
  </si>
  <si>
    <t>810198d1-55d3-4cd1-9136-e522707b1094</t>
  </si>
  <si>
    <t>https://us-east-1.quicksight.aws.amazon.com/sn/analyses/810198d1-55d3-4cd1-9136-e522707b1094</t>
  </si>
  <si>
    <t>SaaS-Sales analysis</t>
  </si>
  <si>
    <t>81f8d541-7665-461b-bce2-595c7eebf3df</t>
  </si>
  <si>
    <t>https://us-east-1.quicksight.aws.amazon.com/sn/analyses/81f8d541-7665-461b-bce2-595c7eebf3df</t>
  </si>
  <si>
    <t>eventos_IAPOL pruebas Daniela analysis</t>
  </si>
  <si>
    <t>839ebdf0-6bcc-4efe-a8f2-7b8df420a04a</t>
  </si>
  <si>
    <t>https://us-east-1.quicksight.aws.amazon.com/sn/analyses/839ebdf0-6bcc-4efe-a8f2-7b8df420a04a</t>
  </si>
  <si>
    <t>84014aad-b9b8-4332-bd8d-50acd2f4ad75</t>
  </si>
  <si>
    <t>https://us-east-1.quicksight.aws.amazon.com/sn/analyses/84014aad-b9b8-4332-bd8d-50acd2f4ad75</t>
  </si>
  <si>
    <t>84bfe4a1-34c6-456a-b984-fe4ea7a263c3</t>
  </si>
  <si>
    <t>https://us-east-1.quicksight.aws.amazon.com/sn/analyses/84bfe4a1-34c6-456a-b984-fe4ea7a263c3</t>
  </si>
  <si>
    <t>v_mebog_2 analysis</t>
  </si>
  <si>
    <t>851a4242-8a91-4fdd-9462-83521b964f3a</t>
  </si>
  <si>
    <t>https://us-east-1.quicksight.aws.amazon.com/sn/analyses/851a4242-8a91-4fdd-9462-83521b964f3a</t>
  </si>
  <si>
    <t>85a2ab81-d1d1-4591-bf8e-e9085feb5599</t>
  </si>
  <si>
    <t>https://us-east-1.quicksight.aws.amazon.com/sn/analyses/85a2ab81-d1d1-4591-bf8e-e9085feb5599</t>
  </si>
  <si>
    <t>mediacionseguimiento2_0 analysis</t>
  </si>
  <si>
    <t>861b41cd-875e-4fc9-8a67-c826f94a4ed2</t>
  </si>
  <si>
    <t>https://us-east-1.quicksight.aws.amazon.com/sn/analyses/861b41cd-875e-4fc9-8a67-c826f94a4ed2</t>
  </si>
  <si>
    <t>actores_potenciales_prueba analysis</t>
  </si>
  <si>
    <t>8a03d979-069f-421f-b6de-0abdb6bcd50a</t>
  </si>
  <si>
    <t>https://us-east-1.quicksight.aws.amazon.com/sn/analyses/8a03d979-069f-421f-b6de-0abdb6bcd50a</t>
  </si>
  <si>
    <t>8ac463bc-fbd5-4d6f-981a-8568fdd23029</t>
  </si>
  <si>
    <t>https://us-east-1.quicksight.aws.amazon.com/sn/analyses/8ac463bc-fbd5-4d6f-981a-8568fdd23029</t>
  </si>
  <si>
    <t>8af667ce-e71f-4ce7-8a07-86a6818d4101</t>
  </si>
  <si>
    <t>8e458516-c57f-4224-b913-8b3ad9981509</t>
  </si>
  <si>
    <t>https://us-east-1.quicksight.aws.amazon.com/sn/analyses/8e458516-c57f-4224-b913-8b3ad9981509</t>
  </si>
  <si>
    <t>8fa27a41-c8db-4f2a-bedf-0e5d0be0dd4e</t>
  </si>
  <si>
    <t>https://us-east-1.quicksight.aws.amazon.com/sn/analyses/8fa27a41-c8db-4f2a-bedf-0e5d0be0dd4e</t>
  </si>
  <si>
    <t>https://us-east-1.quicksight.aws.amazon.com/sn/analyses/8fd2dac6-6eeb-404d-812f-04b1f9d7553c</t>
  </si>
  <si>
    <t>premier_one_mebog_2 analysis</t>
  </si>
  <si>
    <t>912617bf-d130-4ca1-9bf8-2762262514e4</t>
  </si>
  <si>
    <t>https://us-east-1.quicksight.aws.amazon.com/sn/analyses/912617bf-d130-4ca1-9bf8-2762262514e4</t>
  </si>
  <si>
    <t>91bf75f1-5763-409f-b22c-83657340b113</t>
  </si>
  <si>
    <t>https://us-east-1.quicksight.aws.amazon.com/sn/analyses/91bf75f1-5763-409f-b22c-83657340b113</t>
  </si>
  <si>
    <t>Andes_copia_tablero</t>
  </si>
  <si>
    <t>92b360a0-6456-4d11-9311-c193fceefb39</t>
  </si>
  <si>
    <t>https://us-east-1.quicksight.aws.amazon.com/sn/analyses/92b360a0-6456-4d11-9311-c193fceefb39</t>
  </si>
  <si>
    <t>mediacion_motivo_2 analysis</t>
  </si>
  <si>
    <t>938996b5-0678-4d31-aac0-100aa4390a2f</t>
  </si>
  <si>
    <t>https://us-east-1.quicksight.aws.amazon.com/sn/analyses/938996b5-0678-4d31-aac0-100aa4390a2f</t>
  </si>
  <si>
    <t>95341cde-6a5e-4213-a788-5fa0e8fe1a2f</t>
  </si>
  <si>
    <t>9587e006-7c42-4d50-a5a1-4bc1624fcf12</t>
  </si>
  <si>
    <t>User_Roles analysis</t>
  </si>
  <si>
    <t>968594f7-4c56-4501-bf48-60ae3772aa89</t>
  </si>
  <si>
    <t>https://us-east-1.quicksight.aws.amazon.com/sn/analyses/968594f7-4c56-4501-bf48-60ae3772aa89</t>
  </si>
  <si>
    <t>971a7936-f6b0-4cf8-bc0d-a850613afac3</t>
  </si>
  <si>
    <t>97613dac-5409-41a2-8cf7-718cf169392c</t>
  </si>
  <si>
    <t>https://us-east-1.quicksight.aws.amazon.com/sn/analyses/97613dac-5409-41a2-8cf7-718cf169392c</t>
  </si>
  <si>
    <t>983abced-7311-47db-8f4c-b8c5f7c03f7a</t>
  </si>
  <si>
    <t>https://us-east-1.quicksight.aws.amazon.com/sn/analyses/983abced-7311-47db-8f4c-b8c5f7c03f7a</t>
  </si>
  <si>
    <t>98d3036a-ea39-4692-9e28-565d6a8263c2</t>
  </si>
  <si>
    <t>https://us-east-1.quicksight.aws.amazon.com/sn/analyses/98d3036a-ea39-4692-9e28-565d6a8263c2</t>
  </si>
  <si>
    <t>9929d71f-9cab-46f3-baa1-976e200720dc</t>
  </si>
  <si>
    <t>https://us-east-1.quicksight.aws.amazon.com/sn/analyses/9929d71f-9cab-46f3-baa1-976e200720dc</t>
  </si>
  <si>
    <t>llamadas_mebog_vista analysis</t>
  </si>
  <si>
    <t>9bb25ad7-0b63-4a2e-ae1c-685fcd79dd5e</t>
  </si>
  <si>
    <t>https://us-east-1.quicksight.aws.amazon.com/sn/analyses/9bb25ad7-0b63-4a2e-ae1c-685fcd79dd5e</t>
  </si>
  <si>
    <t>9c84435e-5680-41f8-85b6-f2de79468ccd</t>
  </si>
  <si>
    <t>9c8ca452-5550-4ef2-b516-0bddaceec056</t>
  </si>
  <si>
    <t>https://us-east-1.quicksight.aws.amazon.com/sn/analyses/9c8ca452-5550-4ef2-b516-0bddaceec056</t>
  </si>
  <si>
    <t>9e38ac26-5f1e-49dc-b78a-affd4175ad2f</t>
  </si>
  <si>
    <t>https://us-east-1.quicksight.aws.amazon.com/sn/analyses/9e38ac26-5f1e-49dc-b78a-affd4175ad2f</t>
  </si>
  <si>
    <t>9e7e0558-6c82-4bb5-9100-778fa72d8d6d</t>
  </si>
  <si>
    <t>a08e4830-d2d8-470f-a443-22084c3a000a</t>
  </si>
  <si>
    <t>https://us-east-1.quicksight.aws.amazon.com/sn/analyses/a08e4830-d2d8-470f-a443-22084c3a000a</t>
  </si>
  <si>
    <t>a0c276a7-1668-4312-8c26-d8a36d39e9c6</t>
  </si>
  <si>
    <t>usr_disec.mtrs_riesgo_ubicacion analysis</t>
  </si>
  <si>
    <t>a1ba39b1-2dca-47d4-862b-340446fbcb86</t>
  </si>
  <si>
    <t>https://us-east-1.quicksight.aws.amazon.com/sn/analyses/a1ba39b1-2dca-47d4-862b-340446fbcb86</t>
  </si>
  <si>
    <t>a1cadbd8-0b5d-4ab7-ad62-6e4139d2ad41</t>
  </si>
  <si>
    <t>https://us-east-1.quicksight.aws.amazon.com/sn/analyses/a1cadbd8-0b5d-4ab7-ad62-6e4139d2ad41</t>
  </si>
  <si>
    <t>a2a4af00-1578-4059-9774-bd3b3b0938fd</t>
  </si>
  <si>
    <t>https://us-east-1.quicksight.aws.amazon.com/sn/analyses/a2a4af00-1578-4059-9774-bd3b3b0938fd</t>
  </si>
  <si>
    <t>a3634644-a3d1-4eaf-8c00-ff121aed9a42</t>
  </si>
  <si>
    <t>https://us-east-1.quicksight.aws.amazon.com/sn/analyses/a3634644-a3d1-4eaf-8c00-ff121aed9a42</t>
  </si>
  <si>
    <t>a3e6758a-90c9-417b-9967-a9c41f27b3c1</t>
  </si>
  <si>
    <t>https://us-east-1.quicksight.aws.amazon.com/sn/analyses/a3e6758a-90c9-417b-9967-a9c41f27b3c1</t>
  </si>
  <si>
    <t>a501385a-2ac2-4e7d-b8ad-96087ca5ebab</t>
  </si>
  <si>
    <t>https://us-east-1.quicksight.aws.amazon.com/sn/analyses/a501385a-2ac2-4e7d-b8ad-96087ca5ebab</t>
  </si>
  <si>
    <t>a625c7da-1f07-4a86-85dd-89d05b96868b</t>
  </si>
  <si>
    <t>https://us-east-1.quicksight.aws.amazon.com/sn/analyses/a625c7da-1f07-4a86-85dd-89d05b96868b</t>
  </si>
  <si>
    <t>raw_cnp_mediacion_seguimiento analysis</t>
  </si>
  <si>
    <t>a92cf545-8533-4cd9-9178-59c17fb40452</t>
  </si>
  <si>
    <t>https://us-east-1.quicksight.aws.amazon.com/sn/analyses/a92cf545-8533-4cd9-9178-59c17fb40452</t>
  </si>
  <si>
    <t>ab790eda-c7b5-48ed-a4e1-9fa13e8ef6db</t>
  </si>
  <si>
    <t>acd7beda-0989-4c94-8e08-44d43d80807a</t>
  </si>
  <si>
    <t>https://us-east-1.quicksight.aws.amazon.com/sn/analyses/acd7beda-0989-4c94-8e08-44d43d80807a</t>
  </si>
  <si>
    <t>ad2f8bc7-88fd-4060-90c5-c3e3e377e4ce</t>
  </si>
  <si>
    <t>https://us-east-1.quicksight.aws.amazon.com/sn/analyses/ad2f8bc7-88fd-4060-90c5-c3e3e377e4ce</t>
  </si>
  <si>
    <t>ad3ccb4e-b22c-4f84-a935-320c1ad05c59</t>
  </si>
  <si>
    <t>https://us-east-1.quicksight.aws.amazon.com/sn/analyses/ad3ccb4e-b22c-4f84-a935-320c1ad05c59</t>
  </si>
  <si>
    <t>My_first_time_add_interactivity</t>
  </si>
  <si>
    <t>ae08e01c-3f94-4668-a121-9fc4e550389f</t>
  </si>
  <si>
    <t>https://us-east-1.quicksight.aws.amazon.com/sn/analyses/ae08e01c-3f94-4668-a121-9fc4e550389f</t>
  </si>
  <si>
    <t>ae21580b-7eec-4b6c-baa5-131f6ff842a1</t>
  </si>
  <si>
    <t>https://us-east-1.quicksight.aws.amazon.com/sn/analyses/ae21580b-7eec-4b6c-baa5-131f6ff842a1</t>
  </si>
  <si>
    <t>ae795899-dc9f-40e1-ab1a-a2a8c179cfde</t>
  </si>
  <si>
    <t>b0f11a8a-af94-47b0-9f17-e360b02c592f</t>
  </si>
  <si>
    <t>https://us-east-1.quicksight.aws.amazon.com/sn/analyses/b0f11a8a-af94-47b0-9f17-e360b02c592f</t>
  </si>
  <si>
    <t>b11421d6-a729-466d-a772-bd10aaadf2c5</t>
  </si>
  <si>
    <t>consulta_imei.xlsx analysis</t>
  </si>
  <si>
    <t>b5c7fd06-3754-4698-a413-d9cba4743c8b</t>
  </si>
  <si>
    <t>https://us-east-1.quicksight.aws.amazon.com/sn/analyses/b5c7fd06-3754-4698-a413-d9cba4743c8b</t>
  </si>
  <si>
    <t>MediacionSeguimineto analysis</t>
  </si>
  <si>
    <t>b70dd0cd-dbcd-4b77-a6f1-9f6f69e755e5</t>
  </si>
  <si>
    <t>https://us-east-1.quicksight.aws.amazon.com/sn/analyses/b70dd0cd-dbcd-4b77-a6f1-9f6f69e755e5</t>
  </si>
  <si>
    <t>Employee-DataSet Dashboard</t>
  </si>
  <si>
    <t>b78086cb-6141-4411-b346-16f2f933db45</t>
  </si>
  <si>
    <t>https://us-east-1.quicksight.aws.amazon.com/sn/analyses/b78086cb-6141-4411-b346-16f2f933db45</t>
  </si>
  <si>
    <t>eventos_IAPOL_metricas_uso analysis - mejora</t>
  </si>
  <si>
    <t>b84104d9-c752-4e7b-8f85-dc849f88f555</t>
  </si>
  <si>
    <t>https://us-east-1.quicksight.aws.amazon.com/sn/analyses/b84104d9-c752-4e7b-8f85-dc849f88f555</t>
  </si>
  <si>
    <t>mediacionacuerdo2_0 analysis</t>
  </si>
  <si>
    <t>ba001703-d9a2-4ef5-aaec-ad4109b0643f</t>
  </si>
  <si>
    <t>https://us-east-1.quicksight.aws.amazon.com/sn/analyses/ba001703-d9a2-4ef5-aaec-ad4109b0643f</t>
  </si>
  <si>
    <t>ba66ea52-b077-4a8d-b627-e4e28990ec07</t>
  </si>
  <si>
    <t>bb23b44e-834e-48de-8aec-a659b0554197</t>
  </si>
  <si>
    <t>https://us-east-1.quicksight.aws.amazon.com/sn/analyses/bb23b44e-834e-48de-8aec-a659b0554197</t>
  </si>
  <si>
    <t>analisis_nacional_num</t>
  </si>
  <si>
    <t>bc0c64df-42c2-49ba-acc6-00c3d6d8d67a</t>
  </si>
  <si>
    <t>https://us-east-1.quicksight.aws.amazon.com/sn/analyses/bc0c64df-42c2-49ba-acc6-00c3d6d8d67a</t>
  </si>
  <si>
    <t>bcb301f7-136d-4511-ab16-2cb6288ab667</t>
  </si>
  <si>
    <t>https://us-east-1.quicksight.aws.amazon.com/sn/analyses/bcb301f7-136d-4511-ab16-2cb6288ab667</t>
  </si>
  <si>
    <t>mdp_limpio analysis</t>
  </si>
  <si>
    <t>bccff719-bb27-4697-8d1e-e1c5126e1df4</t>
  </si>
  <si>
    <t>https://us-east-1.quicksight.aws.amazon.com/sn/analyses/bccff719-bb27-4697-8d1e-e1c5126e1df4</t>
  </si>
  <si>
    <t>bd32aa56-23d4-42b5-a6ee-09d0ee6a2b2f</t>
  </si>
  <si>
    <t>https://us-east-1.quicksight.aws.amazon.com/sn/analyses/bd32aa56-23d4-42b5-a6ee-09d0ee6a2b2f</t>
  </si>
  <si>
    <t>bdb43c4b-4fd2-43b1-836b-8c53e5736f3b</t>
  </si>
  <si>
    <t>https://us-east-1.quicksight.aws.amazon.com/sn/analyses/bdb43c4b-4fd2-43b1-836b-8c53e5736f3b</t>
  </si>
  <si>
    <t>bde48d87-1af3-48a6-a5e3-1f5a8500a829</t>
  </si>
  <si>
    <t>https://us-east-1.quicksight.aws.amazon.com/sn/analyses/bde48d87-1af3-48a6-a5e3-1f5a8500a829</t>
  </si>
  <si>
    <t>usr_disec.v_mtrs_riesgo_ubicacion analysis</t>
  </si>
  <si>
    <t>bec98f17-031b-437a-b9ff-267fe57562ed</t>
  </si>
  <si>
    <t>https://us-east-1.quicksight.aws.amazon.com/sn/analyses/bec98f17-031b-437a-b9ff-267fe57562ed</t>
  </si>
  <si>
    <t>planta_nacional_final analysis</t>
  </si>
  <si>
    <t>bf28677c-b924-4cc1-a6a0-ede4cfc001e2</t>
  </si>
  <si>
    <t>https://us-east-1.quicksight.aws.amazon.com/sn/analyses/bf28677c-b924-4cc1-a6a0-ede4cfc001e2</t>
  </si>
  <si>
    <t>My_first_time_1</t>
  </si>
  <si>
    <t>bf76e6d1-dd65-422c-be75-31c2576eb6c1</t>
  </si>
  <si>
    <t>https://us-east-1.quicksight.aws.amazon.com/sn/analyses/bf76e6d1-dd65-422c-be75-31c2576eb6c1</t>
  </si>
  <si>
    <t>boletin206</t>
  </si>
  <si>
    <t>https://us-east-1.quicksight.aws.amazon.com/sn/analyses/boletin206</t>
  </si>
  <si>
    <t>Actores potenciales analysis</t>
  </si>
  <si>
    <t>c04503e8-29be-4133-8dfa-d4a4e0dea11c</t>
  </si>
  <si>
    <t>https://us-east-1.quicksight.aws.amazon.com/sn/analyses/c04503e8-29be-4133-8dfa-d4a4e0dea11c</t>
  </si>
  <si>
    <t>cudrantes_estaciones analysis</t>
  </si>
  <si>
    <t>c062fe62-42a8-4971-ab5f-9268674378e8</t>
  </si>
  <si>
    <t>https://us-east-1.quicksight.aws.amazon.com/sn/analyses/c062fe62-42a8-4971-ab5f-9268674378e8</t>
  </si>
  <si>
    <t>c11dc542-e615-4646-851c-dd35ec327316</t>
  </si>
  <si>
    <t>https://us-east-1.quicksight.aws.amazon.com/sn/analyses/c11dc542-e615-4646-851c-dd35ec327316</t>
  </si>
  <si>
    <t>c136ddc5-3621-45c6-a8ed-0e601d91e61d</t>
  </si>
  <si>
    <t>https://us-east-1.quicksight.aws.amazon.com/sn/analyses/c136ddc5-3621-45c6-a8ed-0e601d91e61d</t>
  </si>
  <si>
    <t>c15c7f24-2d73-410d-b6a5-48747df16403</t>
  </si>
  <si>
    <t>c221b7b4-c04c-4c59-8307-20a83199f055</t>
  </si>
  <si>
    <t>https://us-east-1.quicksight.aws.amazon.com/sn/analyses/c221b7b4-c04c-4c59-8307-20a83199f055</t>
  </si>
  <si>
    <t>c245c7ac-ee10-40cd-b4a7-e1e1c4b58705</t>
  </si>
  <si>
    <t>https://us-east-1.quicksight.aws.amazon.com/sn/analyses/c245c7ac-ee10-40cd-b4a7-e1e1c4b58705</t>
  </si>
  <si>
    <t>c25d27e0-05fe-43e8-a8ca-4aa823dafb84</t>
  </si>
  <si>
    <t>https://us-east-1.quicksight.aws.amazon.com/sn/analyses/c25d27e0-05fe-43e8-a8ca-4aa823dafb84</t>
  </si>
  <si>
    <t>c27fa9fa-f07c-42fe-be2d-a6cdcd9768ca</t>
  </si>
  <si>
    <t>https://us-east-1.quicksight.aws.amazon.com/sn/analyses/c27fa9fa-f07c-42fe-be2d-a6cdcd9768ca</t>
  </si>
  <si>
    <t>c6965a95-4f98-43f6-af1d-05e2cae6dab7</t>
  </si>
  <si>
    <t>https://us-east-1.quicksight.aws.amazon.com/sn/analyses/c6965a95-4f98-43f6-af1d-05e2cae6dab7</t>
  </si>
  <si>
    <t>c6e484f6-fe56-4115-8ddd-8bf69dc5fb48</t>
  </si>
  <si>
    <t>https://us-east-1.quicksight.aws.amazon.com/sn/analyses/c6e484f6-fe56-4115-8ddd-8bf69dc5fb48</t>
  </si>
  <si>
    <t>consulta_vehiculo.xlsx analysis</t>
  </si>
  <si>
    <t>c77419eb-6c21-498a-9b37-98037279c7c8</t>
  </si>
  <si>
    <t>https://us-east-1.quicksight.aws.amazon.com/sn/analyses/c77419eb-6c21-498a-9b37-98037279c7c8</t>
  </si>
  <si>
    <t>vista_cuadrantes_numero_empleados_diario analysis</t>
  </si>
  <si>
    <t>caad79ad-35a0-45b3-9edf-eac20dfa731d</t>
  </si>
  <si>
    <t>https://us-east-1.quicksight.aws.amazon.com/sn/analyses/caad79ad-35a0-45b3-9edf-eac20dfa731d</t>
  </si>
  <si>
    <t>caee5245-6225-4dd4-ba7c-4be9ecbfcf54</t>
  </si>
  <si>
    <t>https://us-east-1.quicksight.aws.amazon.com/sn/analyses/caee5245-6225-4dd4-ba7c-4be9ecbfcf54</t>
  </si>
  <si>
    <t>cb399d54-0c29-4e5a-a834-ee9deae7df92</t>
  </si>
  <si>
    <t>https://us-east-1.quicksight.aws.amazon.com/sn/analyses/cb399d54-0c29-4e5a-a834-ee9deae7df92</t>
  </si>
  <si>
    <t>cd41229c-d236-4bd1-96ba-ec63b3946bb7</t>
  </si>
  <si>
    <t>vw_delitos_corregido_schema analysis</t>
  </si>
  <si>
    <t>d0fcd52e-9792-4d9b-bccb-3cede06f0749</t>
  </si>
  <si>
    <t>https://us-east-1.quicksight.aws.amazon.com/sn/analyses/d0fcd52e-9792-4d9b-bccb-3cede06f0749</t>
  </si>
  <si>
    <t>d1bdf7bf-2f69-4a0e-93a2-31d4838be267</t>
  </si>
  <si>
    <t>https://us-east-1.quicksight.aws.amazon.com/sn/analyses/d1bdf7bf-2f69-4a0e-93a2-31d4838be267</t>
  </si>
  <si>
    <t>d20be15f-0a68-4228-ae36-12d3d1ad0597</t>
  </si>
  <si>
    <t>https://us-east-1.quicksight.aws.amazon.com/sn/analyses/d20be15f-0a68-4228-ae36-12d3d1ad0597</t>
  </si>
  <si>
    <t>d325f1d7-1578-4f4d-a313-162e9a0b70af</t>
  </si>
  <si>
    <t>https://us-east-1.quicksight.aws.amazon.com/sn/analyses/d325f1d7-1578-4f4d-a313-162e9a0b70af</t>
  </si>
  <si>
    <t>d3be739e-e9b3-4831-ad76-77a8be48c4f7</t>
  </si>
  <si>
    <t>https://us-east-1.quicksight.aws.amazon.com/sn/analyses/d3be739e-e9b3-4831-ad76-77a8be48c4f7</t>
  </si>
  <si>
    <t>llamadas_mebog analysis</t>
  </si>
  <si>
    <t>d47f18c4-5675-4c41-9d12-71aebb6f9125</t>
  </si>
  <si>
    <t>https://us-east-1.quicksight.aws.amazon.com/sn/analyses/d47f18c4-5675-4c41-9d12-71aebb6f9125</t>
  </si>
  <si>
    <t>d5af7256-4eaa-46fa-aa4d-fcec35d41e53</t>
  </si>
  <si>
    <t>https://us-east-1.quicksight.aws.amazon.com/sn/analyses/d5af7256-4eaa-46fa-aa4d-fcec35d41e53</t>
  </si>
  <si>
    <t>d671195c-843b-41a8-b90b-acbdb909fb02</t>
  </si>
  <si>
    <t>https://us-east-1.quicksight.aws.amazon.com/sn/analyses/d671195c-843b-41a8-b90b-acbdb909fb02</t>
  </si>
  <si>
    <t>Israel_Valenzuela_Proyecto_01</t>
  </si>
  <si>
    <t>d75b2505-700f-4579-b41d-bc41e87dbc48</t>
  </si>
  <si>
    <t>https://us-east-1.quicksight.aws.amazon.com/sn/analyses/d75b2505-700f-4579-b41d-bc41e87dbc48</t>
  </si>
  <si>
    <t>d75b478f-09e2-4767-b338-2f6e341c6b05</t>
  </si>
  <si>
    <t>d78611c4-0da7-4f66-a2b9-e70475f760a0</t>
  </si>
  <si>
    <t>https://us-east-1.quicksight.aws.amazon.com/sn/analyses/d78611c4-0da7-4f66-a2b9-e70475f760a0</t>
  </si>
  <si>
    <t>Si_Ruiz_Rendell_Prueba</t>
  </si>
  <si>
    <t>d83d4b4d-2384-4824-aba2-ec38889cf993</t>
  </si>
  <si>
    <t>https://us-east-1.quicksight.aws.amazon.com/sn/analyses/d83d4b4d-2384-4824-aba2-ec38889cf993</t>
  </si>
  <si>
    <t>d907ed50-19d1-41c9-85ca-187a14b5acbf</t>
  </si>
  <si>
    <t>https://us-east-1.quicksight.aws.amazon.com/sn/analyses/d907ed50-19d1-41c9-85ca-187a14b5acbf</t>
  </si>
  <si>
    <t>d9feef77-788a-4033-999b-13b3c92c9bf1</t>
  </si>
  <si>
    <t>https://us-east-1.quicksight.aws.amazon.com/sn/analyses/d9feef77-788a-4033-999b-13b3c92c9bf1</t>
  </si>
  <si>
    <t>db070bda-c24c-4513-befe-56d1649cd602</t>
  </si>
  <si>
    <t>https://us-east-1.quicksight.aws.amazon.com/sn/analyses/db070bda-c24c-4513-befe-56d1649cd602</t>
  </si>
  <si>
    <t>db1d71af-8355-40c5-8b5d-e24a50114bdf</t>
  </si>
  <si>
    <t>https://us-east-1.quicksight.aws.amazon.com/sn/analyses/db1d71af-8355-40c5-8b5d-e24a50114bdf</t>
  </si>
  <si>
    <t>https://us-east-1.quicksight.aws.amazon.com/sn/analyses/dd35977f-e560-468c-b4a6-541189610e8f</t>
  </si>
  <si>
    <t>e09cd15e-0b94-458e-ae0b-cbb699c85ae6</t>
  </si>
  <si>
    <t>https://us-east-1.quicksight.aws.amazon.com/sn/analyses/e09cd15e-0b94-458e-ae0b-cbb699c85ae6</t>
  </si>
  <si>
    <t>e220d74a-8329-4ea5-8c23-dac89f5e0152</t>
  </si>
  <si>
    <t>https://us-east-1.quicksight.aws.amazon.com/sn/analyses/e220d74a-8329-4ea5-8c23-dac89f5e0152</t>
  </si>
  <si>
    <t>vistas_reunion_rnmc analysis</t>
  </si>
  <si>
    <t>e3002881-ac58-4543-918a-ccc4b567ccab</t>
  </si>
  <si>
    <t>https://us-east-1.quicksight.aws.amazon.com/sn/analyses/e3002881-ac58-4543-918a-ccc4b567ccab</t>
  </si>
  <si>
    <t>e3571f9b-3830-452a-b708-f9ffa6f81123</t>
  </si>
  <si>
    <t>https://us-east-1.quicksight.aws.amazon.com/sn/analyses/e3571f9b-3830-452a-b708-f9ffa6f81123</t>
  </si>
  <si>
    <t>medidas_autos_s3 analysis</t>
  </si>
  <si>
    <t>e426d651-e1df-47f0-8ea2-2e3ca72d316f</t>
  </si>
  <si>
    <t>https://us-east-1.quicksight.aws.amazon.com/sn/analyses/e426d651-e1df-47f0-8ea2-2e3ca72d316f</t>
  </si>
  <si>
    <t>CLUSTER.xlsx analysis</t>
  </si>
  <si>
    <t>e5577a8a-6f1f-4239-9d67-bf9ce29edf8b</t>
  </si>
  <si>
    <t>https://us-east-1.quicksight.aws.amazon.com/sn/analyses/e5577a8a-6f1f-4239-9d67-bf9ce29edf8b</t>
  </si>
  <si>
    <t>e5ab383d-d79d-4ac2-8af6-c4f6fa211d8f</t>
  </si>
  <si>
    <t>https://us-east-1.quicksight.aws.amazon.com/sn/analyses/e5ab383d-d79d-4ac2-8af6-c4f6fa211d8f</t>
  </si>
  <si>
    <t>e6710ed2-e1da-47a0-98a9-3ba8752f35f5</t>
  </si>
  <si>
    <t>SI MAURICIO NIÑO_analisis</t>
  </si>
  <si>
    <t>e6b99cb2-6e43-4dd6-a871-1e33a0e237f6</t>
  </si>
  <si>
    <t>https://us-east-1.quicksight.aws.amazon.com/sn/analyses/e6b99cb2-6e43-4dd6-a871-1e33a0e237f6</t>
  </si>
  <si>
    <t>e6f5682c-0ead-4ce3-aaba-96a1ae0ffbba</t>
  </si>
  <si>
    <t>https://us-east-1.quicksight.aws.amazon.com/sn/analyses/e6f5682c-0ead-4ce3-aaba-96a1ae0ffbba</t>
  </si>
  <si>
    <t>pon-prod-mpvg-medidas-proteccion-violencia-genero.V1</t>
  </si>
  <si>
    <t>e8fec0f6-1991-42df-bfc8-7c7fc39ae057</t>
  </si>
  <si>
    <t>https://us-east-1.quicksight.aws.amazon.com/sn/analyses/e8fec0f6-1991-42df-bfc8-7c7fc39ae057</t>
  </si>
  <si>
    <t>ea2233e6-8d1d-4def-a9e2-dc2b9a094f75</t>
  </si>
  <si>
    <t>eb13e7cd-566e-4344-8b0d-74623ad37f60</t>
  </si>
  <si>
    <t>https://us-east-1.quicksight.aws.amazon.com/sn/analyses/eb13e7cd-566e-4344-8b0d-74623ad37f60</t>
  </si>
  <si>
    <t>eb29e14e-2d5e-4253-a6a7-ce77ee996464</t>
  </si>
  <si>
    <t>https://us-east-1.quicksight.aws.amazon.com/sn/analyses/eb29e14e-2d5e-4253-a6a7-ce77ee996464</t>
  </si>
  <si>
    <t>ec44d30f-1db5-4f7b-a583-b09b9b07846a</t>
  </si>
  <si>
    <t>https://us-east-1.quicksight.aws.amazon.com/sn/analyses/ec44d30f-1db5-4f7b-a583-b09b9b07846a</t>
  </si>
  <si>
    <t>ed52ce01-b428-4640-99b5-96b69d1fd9f4</t>
  </si>
  <si>
    <t>https://us-east-1.quicksight.aws.amazon.com/sn/analyses/ed52ce01-b428-4640-99b5-96b69d1fd9f4</t>
  </si>
  <si>
    <t>eecb6c67-3b39-4169-8dd4-9e2dcb7f976d</t>
  </si>
  <si>
    <t>https://us-east-1.quicksight.aws.amazon.com/sn/analyses/eecb6c67-3b39-4169-8dd4-9e2dcb7f976d</t>
  </si>
  <si>
    <t>eede8f0f-41ac-425e-9c5c-6c313110a3c9</t>
  </si>
  <si>
    <t>https://us-east-1.quicksight.aws.amazon.com/sn/analyses/eede8f0f-41ac-425e-9c5c-6c313110a3c9</t>
  </si>
  <si>
    <t>efc2393d-211e-40f9-bbb8-863bbf07068e</t>
  </si>
  <si>
    <t>https://us-east-1.quicksight.aws.amazon.com/sn/analyses/efc2393d-211e-40f9-bbb8-863bbf07068e</t>
  </si>
  <si>
    <t>f132a540-e024-44ea-8d15-1330a231c68c</t>
  </si>
  <si>
    <t>https://us-east-1.quicksight.aws.amazon.com/sn/analyses/f132a540-e024-44ea-8d15-1330a231c68c</t>
  </si>
  <si>
    <t>f22c1d89-723d-42b3-94b2-a6f5b977eb29</t>
  </si>
  <si>
    <t>https://us-east-1.quicksight.aws.amazon.com/sn/analyses/f22c1d89-723d-42b3-94b2-a6f5b977eb29</t>
  </si>
  <si>
    <t>f366dc25-ef41-42ab-bab9-9038d1ceb978</t>
  </si>
  <si>
    <t>https://us-east-1.quicksight.aws.amazon.com/sn/analyses/f366dc25-ef41-42ab-bab9-9038d1ceb978</t>
  </si>
  <si>
    <t>f557dbfa-bc80-447c-81ee-815472f81a04</t>
  </si>
  <si>
    <t>https://us-east-1.quicksight.aws.amazon.com/sn/analyses/f557dbfa-bc80-447c-81ee-815472f81a04</t>
  </si>
  <si>
    <t>f596d443-bffb-4400-a371-aea034f873ca</t>
  </si>
  <si>
    <t>f5ed77c6-4be1-425a-9634-6114f0e17879</t>
  </si>
  <si>
    <t>https://us-east-1.quicksight.aws.amazon.com/sn/analyses/f5ed77c6-4be1-425a-9634-6114f0e17879</t>
  </si>
  <si>
    <t>f607a6e3-32a0-44c9-990b-7a71a4ce9e03</t>
  </si>
  <si>
    <t>https://us-east-1.quicksight.aws.amazon.com/sn/analyses/f607a6e3-32a0-44c9-990b-7a71a4ce9e03</t>
  </si>
  <si>
    <t>f6ec237b-c9af-4986-b9e5-27910b6156fc</t>
  </si>
  <si>
    <t>https://us-east-1.quicksight.aws.amazon.com/sn/analyses/f6ec237b-c9af-4986-b9e5-27910b6156fc</t>
  </si>
  <si>
    <t>f81db084-13e3-42bc-a7b0-fa0c1288fec0</t>
  </si>
  <si>
    <t>https://us-east-1.quicksight.aws.amazon.com/sn/analyses/f81db084-13e3-42bc-a7b0-fa0c1288fec0</t>
  </si>
  <si>
    <t>f84d6edd-4402-4c6c-a6d3-da92b2221d6e</t>
  </si>
  <si>
    <t>f88338e8-700b-4dcf-b3a3-f17dc20a5a89</t>
  </si>
  <si>
    <t>https://us-east-1.quicksight.aws.amazon.com/sn/analyses/f88338e8-700b-4dcf-b3a3-f17dc20a5a89</t>
  </si>
  <si>
    <t>f8ffa6f4-0c51-4599-97b5-bb0e83e30555</t>
  </si>
  <si>
    <t>https://us-east-1.quicksight.aws.amazon.com/sn/analyses/f8ffa6f4-0c51-4599-97b5-bb0e83e30555</t>
  </si>
  <si>
    <t>f916c33f-0b7a-471a-80b6-cde367b3e498</t>
  </si>
  <si>
    <t>https://us-east-1.quicksight.aws.amazon.com/sn/analyses/f916c33f-0b7a-471a-80b6-cde367b3e498</t>
  </si>
  <si>
    <t>f97e53dd-c6e8-4f67-9b7a-a9b0688a1ab2</t>
  </si>
  <si>
    <t>f9a6c0a9-31a9-4b4f-8edf-88275e21c648</t>
  </si>
  <si>
    <t>https://us-east-1.quicksight.aws.amazon.com/sn/analyses/f9a6c0a9-31a9-4b4f-8edf-88275e21c648</t>
  </si>
  <si>
    <t>f9d6631e-b2cf-4abc-8a57-19a644faaf83</t>
  </si>
  <si>
    <t>https://us-east-1.quicksight.aws.amazon.com/sn/analyses/f9d6631e-b2cf-4abc-8a57-19a644faaf83</t>
  </si>
  <si>
    <t>Anexo 1 Formulario Modelo explotación de datos_para descarga.xlsx analysis</t>
  </si>
  <si>
    <t>fc4bf209-1987-460e-9fda-5ec40f19dc84</t>
  </si>
  <si>
    <t>https://us-east-1.quicksight.aws.amazon.com/sn/analyses/fc4bf209-1987-460e-9fda-5ec40f19dc84</t>
  </si>
  <si>
    <t>fc7e219e-e830-4aa2-8f22-e5215327dfca</t>
  </si>
  <si>
    <t>https://us-east-1.quicksight.aws.amazon.com/sn/analyses/fc7e219e-e830-4aa2-8f22-e5215327dfca</t>
  </si>
  <si>
    <t>fd6410e8-aa98-43cf-9362-b56c23357fc1</t>
  </si>
  <si>
    <t>https://us-east-1.quicksight.aws.amazon.com/sn/analyses/fd6410e8-aa98-43cf-9362-b56c23357fc1</t>
  </si>
  <si>
    <t>fdee3bc0-eaac-4d49-be04-c7080e36cc3a</t>
  </si>
  <si>
    <t>https://us-east-1.quicksight.aws.amazon.com/sn/analyses/fdee3bc0-eaac-4d49-be04-c7080e36cc3a</t>
  </si>
  <si>
    <t>fe63f703-d243-4e97-be74-a91612b7caaf</t>
  </si>
  <si>
    <t>https://us-east-1.quicksight.aws.amazon.com/sn/analyses/fe63f703-d243-4e97-be74-a91612b7caaf</t>
  </si>
  <si>
    <t>fe9dba89-ade3-47d0-aaef-9188e481dba9</t>
  </si>
  <si>
    <t>https://us-east-1.quicksight.aws.amazon.com/sn/analyses/fe9dba89-ade3-47d0-aaef-9188e481dba9</t>
  </si>
  <si>
    <t>fee93791-ad46-4ddc-962e-65e666f3a21a</t>
  </si>
  <si>
    <t>ffe3be91-f9cf-4e6a-ae5f-5ad894148aa5</t>
  </si>
  <si>
    <t>https://us-east-1.quicksight.aws.amazon.com/sn/analyses/ffe3be91-f9cf-4e6a-ae5f-5ad894148aa5</t>
  </si>
  <si>
    <t>Monitoreo Certificaciones IAPOL - Validación v2</t>
  </si>
  <si>
    <t>monitoreo-certificaciones-iapol-v2</t>
  </si>
  <si>
    <t>PREVIEW - pon-prod-ied-comparativo-delictivo (ajustes filtros)</t>
  </si>
  <si>
    <t>preview-comparativo-delictivo-20261006</t>
  </si>
  <si>
    <t>https://us-east-1.quicksight.aws.amazon.com/sn/analyses/preview-comparativo-delictivo-20261006</t>
  </si>
  <si>
    <t>DataSet</t>
  </si>
  <si>
    <t>ID</t>
  </si>
  <si>
    <t>Enlace Dataset</t>
  </si>
  <si>
    <t>vista_radio_cuadrantes</t>
  </si>
  <si>
    <t>00525f89-9e73-4d00-b25f-27738d9c1ced</t>
  </si>
  <si>
    <t>https://us-east-1.quicksight.aws.amazon.com/sn/datasets/00525f89-9e73-4d00-b25f-27738d9c1ced</t>
  </si>
  <si>
    <t>usr_disec.v_simep_medidas</t>
  </si>
  <si>
    <t>02400b1a-2e77-4126-a51b-744a73adf573</t>
  </si>
  <si>
    <t>https://us-east-1.quicksight.aws.amazon.com/sn/datasets/02400b1a-2e77-4126-a51b-744a73adf573</t>
  </si>
  <si>
    <t>eventos_IAPOL</t>
  </si>
  <si>
    <t>0515da61-d0a0-4b5b-b055-a1f490231d28</t>
  </si>
  <si>
    <t>https://us-east-1.quicksight.aws.amazon.com/sn/datasets/0515da61-d0a0-4b5b-b055-a1f490231d28</t>
  </si>
  <si>
    <t>v_personal_agrupado_sivicc</t>
  </si>
  <si>
    <t>0a68b0ac-714a-4b79-aa25-0155d6dead1e</t>
  </si>
  <si>
    <t>https://us-east-1.quicksight.aws.amazon.com/sn/datasets/0a68b0ac-714a-4b79-aa25-0155d6dead1e</t>
  </si>
  <si>
    <t>solicitud_medida_3</t>
  </si>
  <si>
    <t>0abeee4d-590a-4461-84f5-d6af49ba00d1</t>
  </si>
  <si>
    <t>https://us-east-1.quicksight.aws.amazon.com/sn/datasets/0abeee4d-590a-4461-84f5-d6af49ba00d1</t>
  </si>
  <si>
    <t>0b9602ea-c968-4fc0-bc95-70a0251ac3b1</t>
  </si>
  <si>
    <t>https://us-east-1.quicksight.aws.amazon.com/sn/datasets/0b9602ea-c968-4fc0-bc95-70a0251ac3b1</t>
  </si>
  <si>
    <t>vista_acuerdos_con_y_sin_seguimiento</t>
  </si>
  <si>
    <t>0c7b4698-95d6-4553-85ff-134b20f9f5e7</t>
  </si>
  <si>
    <t>https://us-east-1.quicksight.aws.amazon.com/sn/datasets/0c7b4698-95d6-4553-85ff-134b20f9f5e7</t>
  </si>
  <si>
    <t>medidas_autos_intervinientes_s3_V3</t>
  </si>
  <si>
    <t>0d32e728-f560-435f-9e4a-3f4a902d61d6</t>
  </si>
  <si>
    <t>https://us-east-1.quicksight.aws.amazon.com/sn/datasets/0d32e728-f560-435f-9e4a-3f4a902d61d6</t>
  </si>
  <si>
    <t>vista_pda_radio_cuadrante_diario</t>
  </si>
  <si>
    <t>0d3f1e0a-1db6-4a50-bcb0-ca998a540ccc</t>
  </si>
  <si>
    <t>https://us-east-1.quicksight.aws.amazon.com/sn/datasets/0d3f1e0a-1db6-4a50-bcb0-ca998a540ccc</t>
  </si>
  <si>
    <t>v_calls</t>
  </si>
  <si>
    <t>1030aa04-27bc-4de7-9ce5-d34a02b0f581</t>
  </si>
  <si>
    <t>https://us-east-1.quicksight.aws.amazon.com/sn/datasets/1030aa04-27bc-4de7-9ce5-d34a02b0f581</t>
  </si>
  <si>
    <t>sigco_escolarizados</t>
  </si>
  <si>
    <t>111909c3-4f11-4baf-a37a-65d16415c200</t>
  </si>
  <si>
    <t>https://us-east-1.quicksight.aws.amazon.com/sn/datasets/111909c3-4f11-4baf-a37a-65d16415c200</t>
  </si>
  <si>
    <t>1ad5b60a-2fc0-4e8e-8428-73f01182539f</t>
  </si>
  <si>
    <t>https://us-east-1.quicksight.aws.amazon.com/sn/datasets/1ad5b60a-2fc0-4e8e-8428-73f01182539f</t>
  </si>
  <si>
    <t>usr_disec.v_simep_actividades</t>
  </si>
  <si>
    <t>1b25f737-5f61-4a15-96fa-b535e63fb1a6</t>
  </si>
  <si>
    <t>https://us-east-1.quicksight.aws.amazon.com/sn/datasets/1b25f737-5f61-4a15-96fa-b535e63fb1a6</t>
  </si>
  <si>
    <t>usr_disec.v_gescov_ddhh</t>
  </si>
  <si>
    <t>1c74a7fb-de73-46ee-a61d-9b4bcbce54d4</t>
  </si>
  <si>
    <t>https://us-east-1.quicksight.aws.amazon.com/sn/datasets/1c74a7fb-de73-46ee-a61d-9b4bcbce54d4</t>
  </si>
  <si>
    <t>mediacion_persona_3</t>
  </si>
  <si>
    <t>1cd8166c-c2c2-4efd-8b0c-c28091d9335c</t>
  </si>
  <si>
    <t>https://us-east-1.quicksight.aws.amazon.com/sn/datasets/1cd8166c-c2c2-4efd-8b0c-c28091d9335c</t>
  </si>
  <si>
    <t>bases</t>
  </si>
  <si>
    <t>1e64cada-4dec-4fca-9862-d10ae316ccd0</t>
  </si>
  <si>
    <t>https://us-east-1.quicksight.aws.amazon.com/sn/datasets/1e64cada-4dec-4fca-9862-d10ae316ccd0</t>
  </si>
  <si>
    <t>20243305-0138-4baa-be81-daa8d2f47dbf</t>
  </si>
  <si>
    <t>https://us-east-1.quicksight.aws.amazon.com/sn/datasets/20243305-0138-4baa-be81-daa8d2f47dbf</t>
  </si>
  <si>
    <t>usr_mnvcc_vw_empleado_siath</t>
  </si>
  <si>
    <t>22a11456-3e4d-4305-8813-19baed317fbc</t>
  </si>
  <si>
    <t>https://us-east-1.quicksight.aws.amazon.com/sn/datasets/22a11456-3e4d-4305-8813-19baed317fbc</t>
  </si>
  <si>
    <t>gescov</t>
  </si>
  <si>
    <t>22f31d46-e12f-4be0-b93d-0acc5aab71d8</t>
  </si>
  <si>
    <t>https://us-east-1.quicksight.aws.amazon.com/sn/datasets/22f31d46-e12f-4be0-b93d-0acc5aab71d8</t>
  </si>
  <si>
    <t>control-users</t>
  </si>
  <si>
    <t>2aa7e9d7-3d15-4820-baf5-c556aec64e36</t>
  </si>
  <si>
    <t>https://us-east-1.quicksight.aws.amazon.com/sn/datasets/2aa7e9d7-3d15-4820-baf5-c556aec64e36</t>
  </si>
  <si>
    <t>sigco_espacios</t>
  </si>
  <si>
    <t>2d188193-2fea-484f-9621-f91432435bc7</t>
  </si>
  <si>
    <t>https://us-east-1.quicksight.aws.amazon.com/sn/datasets/2d188193-2fea-484f-9621-f91432435bc7</t>
  </si>
  <si>
    <t>cudrantes_estaciones</t>
  </si>
  <si>
    <t>2ea00c90-97d2-410e-b25c-497a0c63c3e6</t>
  </si>
  <si>
    <t>https://us-east-1.quicksight.aws.amazon.com/sn/datasets/2ea00c90-97d2-410e-b25c-497a0c63c3e6</t>
  </si>
  <si>
    <t>32da3479-5ea3-437c-998f-b9aec7587f9f</t>
  </si>
  <si>
    <t>https://us-east-1.quicksight.aws.amazon.com/sn/datasets/32da3479-5ea3-437c-998f-b9aec7587f9f</t>
  </si>
  <si>
    <t>MES MADRE</t>
  </si>
  <si>
    <t>36114e41-0bb0-47b9-9d90-724f0ef8788c</t>
  </si>
  <si>
    <t>https://us-east-1.quicksight.aws.amazon.com/sn/datasets/36114e41-0bb0-47b9-9d90-724f0ef8788c</t>
  </si>
  <si>
    <t>raw_geopol_usr_pmu_servicios_extra</t>
  </si>
  <si>
    <t>3656554a-497f-4da8-ba24-660266113d85</t>
  </si>
  <si>
    <t>https://us-east-1.quicksight.aws.amazon.com/sn/datasets/3656554a-497f-4da8-ba24-660266113d85</t>
  </si>
  <si>
    <t>puntos</t>
  </si>
  <si>
    <t>366a2bb2-1b53-45e7-ac4e-71e6e439678b</t>
  </si>
  <si>
    <t>https://us-east-1.quicksight.aws.amazon.com/sn/datasets/366a2bb2-1b53-45e7-ac4e-71e6e439678b</t>
  </si>
  <si>
    <t>vw_delitos_corregido_schema_temporal</t>
  </si>
  <si>
    <t>38b5046f-8c6f-4a2e-809b-c2ca7f33c8e6</t>
  </si>
  <si>
    <t>https://us-east-1.quicksight.aws.amazon.com/sn/datasets/38b5046f-8c6f-4a2e-809b-c2ca7f33c8e6</t>
  </si>
  <si>
    <t>vista_tamir_actividades</t>
  </si>
  <si>
    <t>3a7bd9fd-dd97-4e6d-a74a-78e52d4d86df</t>
  </si>
  <si>
    <t>https://us-east-1.quicksight.aws.amazon.com/sn/datasets/3a7bd9fd-dd97-4e6d-a74a-78e52d4d86df</t>
  </si>
  <si>
    <t>3ac3c685-bb88-46ff-a8f4-68e84719eba7</t>
  </si>
  <si>
    <t>https://us-east-1.quicksight.aws.amazon.com/sn/datasets/3ac3c685-bb88-46ff-a8f4-68e84719eba7</t>
  </si>
  <si>
    <t>3d4ae13a-6436-46bc-8ed8-7fba7d28a3ee</t>
  </si>
  <si>
    <t>https://us-east-1.quicksight.aws.amazon.com/sn/datasets/3d4ae13a-6436-46bc-8ed8-7fba7d28a3ee</t>
  </si>
  <si>
    <t>usr_disec.v_gestion_proyecto_detalle</t>
  </si>
  <si>
    <t>3da4c87a-bef3-406c-add4-f7e126ae4208</t>
  </si>
  <si>
    <t>https://us-east-1.quicksight.aws.amazon.com/sn/datasets/3da4c87a-bef3-406c-add4-f7e126ae4208</t>
  </si>
  <si>
    <t>v_llamadas_limpias</t>
  </si>
  <si>
    <t>3da58982-0ec7-4a6e-9a4e-66d9bfbc7c72</t>
  </si>
  <si>
    <t>https://us-east-1.quicksight.aws.amazon.com/sn/datasets/3da58982-0ec7-4a6e-9a4e-66d9bfbc7c72</t>
  </si>
  <si>
    <t>vista_acuerdos_con_y_sin_seguimiento_3</t>
  </si>
  <si>
    <t>3e2b5e9f-037f-421d-a9cf-be561df9261d</t>
  </si>
  <si>
    <t>https://us-east-1.quicksight.aws.amazon.com/sn/datasets/3e2b5e9f-037f-421d-a9cf-be561df9261d</t>
  </si>
  <si>
    <t>432714d2-c346-4f20-ab4d-5ede112e6472</t>
  </si>
  <si>
    <t>https://us-east-1.quicksight.aws.amazon.com/sn/datasets/432714d2-c346-4f20-ab4d-5ede112e6472</t>
  </si>
  <si>
    <t>query_events</t>
  </si>
  <si>
    <t>45686d21-4cb0-477e-800f-16e32ea82ec9</t>
  </si>
  <si>
    <t>https://us-east-1.quicksight.aws.amazon.com/sn/datasets/45686d21-4cb0-477e-800f-16e32ea82ec9</t>
  </si>
  <si>
    <t>usr_disec.v_seget_unidades</t>
  </si>
  <si>
    <t>4a23219f-b81b-4382-947b-7553a6adb674</t>
  </si>
  <si>
    <t>https://us-east-1.quicksight.aws.amazon.com/sn/datasets/4a23219f-b81b-4382-947b-7553a6adb674</t>
  </si>
  <si>
    <t>RawData_SECAD_Semana_Madres</t>
  </si>
  <si>
    <t>4b2c8c9b-6e5c-4993-a0a9-e391b670751d</t>
  </si>
  <si>
    <t>https://us-east-1.quicksight.aws.amazon.com/sn/datasets/4b2c8c9b-6e5c-4993-a0a9-e391b670751d</t>
  </si>
  <si>
    <t>vista_frentes_con_descripcion</t>
  </si>
  <si>
    <t>4e7ec25e-d7d6-4dd7-bb50-3599f3431949</t>
  </si>
  <si>
    <t>https://us-east-1.quicksight.aws.amazon.com/sn/datasets/4e7ec25e-d7d6-4dd7-bb50-3599f3431949</t>
  </si>
  <si>
    <t>MATRIZ CRITICIDAD DIPOL - DIJIN V1.xlsx</t>
  </si>
  <si>
    <t>4f894a2a-b946-4845-9eca-389b5224d414</t>
  </si>
  <si>
    <t>https://us-east-1.quicksight.aws.amazon.com/sn/datasets/4f894a2a-b946-4845-9eca-389b5224d414</t>
  </si>
  <si>
    <t>usr_disec.v_gestion_recurso_detalle</t>
  </si>
  <si>
    <t>500ea04d-4736-4bd4-a082-a2c9c592ddd9</t>
  </si>
  <si>
    <t>https://us-east-1.quicksight.aws.amazon.com/sn/datasets/500ea04d-4736-4bd4-a082-a2c9c592ddd9</t>
  </si>
  <si>
    <t>usr_sisec.sigco_campanias_edu</t>
  </si>
  <si>
    <t>5086bce3-3eec-4cf3-96a7-dd8367f228d3</t>
  </si>
  <si>
    <t>https://us-east-1.quicksight.aws.amazon.com/sn/datasets/5086bce3-3eec-4cf3-96a7-dd8367f228d3</t>
  </si>
  <si>
    <t>51536999-9101-4a7f-b1ef-2226508d5e8c</t>
  </si>
  <si>
    <t>https://us-east-1.quicksight.aws.amazon.com/sn/datasets/51536999-9101-4a7f-b1ef-2226508d5e8c</t>
  </si>
  <si>
    <t>llamada_autoupdate</t>
  </si>
  <si>
    <t>51a32b4a-0e25-4d0b-acbc-0167fe4ee883</t>
  </si>
  <si>
    <t>https://us-east-1.quicksight.aws.amazon.com/sn/datasets/51a32b4a-0e25-4d0b-acbc-0167fe4ee883</t>
  </si>
  <si>
    <t>DATALAKE</t>
  </si>
  <si>
    <t>5255dc83-5bde-4ab0-a5c1-9c3f65dd7d65</t>
  </si>
  <si>
    <t>https://us-east-1.quicksight.aws.amazon.com/sn/datasets/5255dc83-5bde-4ab0-a5c1-9c3f65dd7d65</t>
  </si>
  <si>
    <t>solicitud_medida_2</t>
  </si>
  <si>
    <t>52b39d22-e174-44c7-9591-841c16adc442</t>
  </si>
  <si>
    <t>https://us-east-1.quicksight.aws.amazon.com/sn/datasets/52b39d22-e174-44c7-9591-841c16adc442</t>
  </si>
  <si>
    <t>sigca_red_apo</t>
  </si>
  <si>
    <t>56263d18-fbd1-4337-ae76-4adb1e7e6ecb</t>
  </si>
  <si>
    <t>https://us-east-1.quicksight.aws.amazon.com/sn/datasets/56263d18-fbd1-4337-ae76-4adb1e7e6ecb</t>
  </si>
  <si>
    <t>5c12954c-d870-468b-9aeb-c74ea3c9e54e</t>
  </si>
  <si>
    <t>https://us-east-1.quicksight.aws.amazon.com/sn/datasets/5c12954c-d870-468b-9aeb-c74ea3c9e54e</t>
  </si>
  <si>
    <t>medidas_autos_intervinientes_s3</t>
  </si>
  <si>
    <t>612b39ad-0ac9-46e6-93b5-04c5cbbfd70a</t>
  </si>
  <si>
    <t>https://us-east-1.quicksight.aws.amazon.com/sn/datasets/612b39ad-0ac9-46e6-93b5-04c5cbbfd70a</t>
  </si>
  <si>
    <t>vw_pedidos_secad</t>
  </si>
  <si>
    <t>65946878-a03d-43d6-b160-968e823b3809</t>
  </si>
  <si>
    <t>https://us-east-1.quicksight.aws.amazon.com/sn/datasets/65946878-a03d-43d6-b160-968e823b3809</t>
  </si>
  <si>
    <t>mediacion_motivo_2</t>
  </si>
  <si>
    <t>66d1dc24-7dc2-40c2-afc1-bd0893f0fb10</t>
  </si>
  <si>
    <t>https://us-east-1.quicksight.aws.amazon.com/sn/datasets/66d1dc24-7dc2-40c2-afc1-bd0893f0fb10</t>
  </si>
  <si>
    <t>raw_telepol_usr_sisec_sigco_encuentros_comunitarios</t>
  </si>
  <si>
    <t>67ccf1f5-a4b5-43dc-b377-490ca663f9b4</t>
  </si>
  <si>
    <t>https://us-east-1.quicksight.aws.amazon.com/sn/datasets/67ccf1f5-a4b5-43dc-b377-490ca663f9b4</t>
  </si>
  <si>
    <t>sigca_reunion_comunitaria</t>
  </si>
  <si>
    <t>685c89e1-504c-42af-8483-58d6a8511ee6</t>
  </si>
  <si>
    <t>https://us-east-1.quicksight.aws.amazon.com/sn/datasets/685c89e1-504c-42af-8483-58d6a8511ee6</t>
  </si>
  <si>
    <t>vista_pda_radio_cuadrante_historico</t>
  </si>
  <si>
    <t>6cc493b9-0f66-4990-b6e2-7c84508a3067</t>
  </si>
  <si>
    <t>https://us-east-1.quicksight.aws.amazon.com/sn/datasets/6cc493b9-0f66-4990-b6e2-7c84508a3067</t>
  </si>
  <si>
    <t>reuniones_situ_v2</t>
  </si>
  <si>
    <t>6f85a0aa-f371-4e52-81b1-16db385db750</t>
  </si>
  <si>
    <t>https://us-east-1.quicksight.aws.amazon.com/sn/datasets/6f85a0aa-f371-4e52-81b1-16db385db750</t>
  </si>
  <si>
    <t>RawData_SIEDCO</t>
  </si>
  <si>
    <t>72f9db7b-03d1-402d-82f5-a6a2d359ad1d</t>
  </si>
  <si>
    <t>https://us-east-1.quicksight.aws.amazon.com/sn/datasets/72f9db7b-03d1-402d-82f5-a6a2d359ad1d</t>
  </si>
  <si>
    <t>medidas_autos_intervinientes</t>
  </si>
  <si>
    <t>75287e5f-90e1-4429-a052-8248bd9b4c10</t>
  </si>
  <si>
    <t>https://us-east-1.quicksight.aws.amazon.com/sn/datasets/75287e5f-90e1-4429-a052-8248bd9b4c10</t>
  </si>
  <si>
    <t>usr_pmu.actividades</t>
  </si>
  <si>
    <t>776c6da0-a8c6-495c-bfc3-76349200d099</t>
  </si>
  <si>
    <t>https://us-east-1.quicksight.aws.amazon.com/sn/datasets/776c6da0-a8c6-495c-bfc3-76349200d099</t>
  </si>
  <si>
    <t>reuniones_situ_v3</t>
  </si>
  <si>
    <t>7797ae69-b5f9-4641-864c-b99f323dacb4</t>
  </si>
  <si>
    <t>https://us-east-1.quicksight.aws.amazon.com/sn/datasets/7797ae69-b5f9-4641-864c-b99f323dacb4</t>
  </si>
  <si>
    <t>SIMEP_V2</t>
  </si>
  <si>
    <t>77caac1f-a3bd-4b10-8d89-178eb735e87c</t>
  </si>
  <si>
    <t>https://us-east-1.quicksight.aws.amazon.com/sn/datasets/77caac1f-a3bd-4b10-8d89-178eb735e87c</t>
  </si>
  <si>
    <t>vista_vehiculos_cuadrante_historico</t>
  </si>
  <si>
    <t>78fa3b34-1ef8-4f5a-a966-9f56fe1bfbe8</t>
  </si>
  <si>
    <t>https://us-east-1.quicksight.aws.amazon.com/sn/datasets/78fa3b34-1ef8-4f5a-a966-9f56fe1bfbe8</t>
  </si>
  <si>
    <t>Recuento_de_registro_1727457509263</t>
  </si>
  <si>
    <t>79e907d6-dbbd-400c-96da-c961f1ff6c9a</t>
  </si>
  <si>
    <t>https://us-east-1.quicksight.aws.amazon.com/sn/datasets/79e907d6-dbbd-400c-96da-c961f1ff6c9a</t>
  </si>
  <si>
    <t>v_fortalecimiento_frentes</t>
  </si>
  <si>
    <t>7da1b945-98e7-4317-ad00-26dde1f958da</t>
  </si>
  <si>
    <t>https://us-east-1.quicksight.aws.amazon.com/sn/datasets/7da1b945-98e7-4317-ad00-26dde1f958da</t>
  </si>
  <si>
    <t>vista_vehiculos_cuadrante</t>
  </si>
  <si>
    <t>8119f8f6-8128-4fc6-9f72-812f622b5180</t>
  </si>
  <si>
    <t>https://us-east-1.quicksight.aws.amazon.com/sn/datasets/8119f8f6-8128-4fc6-9f72-812f622b5180</t>
  </si>
  <si>
    <t>actores_potenciales_version_2</t>
  </si>
  <si>
    <t>81a060c5-2468-43e8-a2e7-6aab8b0496b1</t>
  </si>
  <si>
    <t>https://us-east-1.quicksight.aws.amazon.com/sn/datasets/81a060c5-2468-43e8-a2e7-6aab8b0496b1</t>
  </si>
  <si>
    <t>mediacionseguimiento2_0</t>
  </si>
  <si>
    <t>8445fcc0-9652-4561-b65d-10690430b932</t>
  </si>
  <si>
    <t>https://us-east-1.quicksight.aws.amazon.com/sn/datasets/8445fcc0-9652-4561-b65d-10690430b932</t>
  </si>
  <si>
    <t>mediacion_acuerdo_3</t>
  </si>
  <si>
    <t>856b7861-7296-4415-95a4-4fb9a5f5a10f</t>
  </si>
  <si>
    <t>https://us-east-1.quicksight.aws.amazon.com/sn/datasets/856b7861-7296-4415-95a4-4fb9a5f5a10f</t>
  </si>
  <si>
    <t>raw__cnp_usr4dblsiedco2aws_delitos_siedco</t>
  </si>
  <si>
    <t>8754544b-c5ba-4207-a378-b81db442eff1</t>
  </si>
  <si>
    <t>https://us-east-1.quicksight.aws.amazon.com/sn/datasets/8754544b-c5ba-4207-a378-b81db442eff1</t>
  </si>
  <si>
    <t>vistas_reunion_rnmc</t>
  </si>
  <si>
    <t>8bfbfd74-ca79-45e9-b537-1eacd8a6f3ed</t>
  </si>
  <si>
    <t>https://us-east-1.quicksight.aws.amazon.com/sn/datasets/8bfbfd74-ca79-45e9-b537-1eacd8a6f3ed</t>
  </si>
  <si>
    <t>datos_simples_estructura_nacional</t>
  </si>
  <si>
    <t>8cfa0e61-5c0d-4556-8463-f14fc186d540</t>
  </si>
  <si>
    <t>https://us-east-1.quicksight.aws.amazon.com/sn/datasets/8cfa0e61-5c0d-4556-8463-f14fc186d540</t>
  </si>
  <si>
    <t>8e221949-ec81-42c1-96bd-9e9dca776bfd</t>
  </si>
  <si>
    <t>https://us-east-1.quicksight.aws.amazon.com/sn/datasets/8e221949-ec81-42c1-96bd-9e9dca776bfd</t>
  </si>
  <si>
    <t>Datos_poblacionales_ciudad</t>
  </si>
  <si>
    <t>8eb59387-8d58-4221-8946-fc489ebd14aa</t>
  </si>
  <si>
    <t>https://us-east-1.quicksight.aws.amazon.com/sn/datasets/8eb59387-8d58-4221-8946-fc489ebd14aa</t>
  </si>
  <si>
    <t>consulta_vehiculo.xlsx</t>
  </si>
  <si>
    <t>8fd105be-3aa8-4c2f-b4d5-77222f3150e5</t>
  </si>
  <si>
    <t>https://us-east-1.quicksight.aws.amazon.com/sn/datasets/8fd105be-3aa8-4c2f-b4d5-77222f3150e5</t>
  </si>
  <si>
    <t>mdp_limpio_meval</t>
  </si>
  <si>
    <t>9366bc6f-3750-4bf1-a082-d6707f84f53e</t>
  </si>
  <si>
    <t>https://us-east-1.quicksight.aws.amazon.com/sn/datasets/9366bc6f-3750-4bf1-a082-d6707f84f53e</t>
  </si>
  <si>
    <t>mediacionacuerdo2_0</t>
  </si>
  <si>
    <t>94215146-3c0c-41a8-8422-2337db5a0014</t>
  </si>
  <si>
    <t>https://us-east-1.quicksight.aws.amazon.com/sn/datasets/94215146-3c0c-41a8-8422-2337db5a0014</t>
  </si>
  <si>
    <t>usr_mnvcc.cuadrante</t>
  </si>
  <si>
    <t>95cf6bac-d491-4fe6-bd80-93b11e7f4a7b</t>
  </si>
  <si>
    <t>https://us-east-1.quicksight.aws.amazon.com/sn/datasets/95cf6bac-d491-4fe6-bd80-93b11e7f4a7b</t>
  </si>
  <si>
    <t>vista_cuadrantes_numero_empleados_diario</t>
  </si>
  <si>
    <t>994ef87c-fa0e-40b4-b1b0-9e9ea503fd7e</t>
  </si>
  <si>
    <t>https://us-east-1.quicksight.aws.amazon.com/sn/datasets/994ef87c-fa0e-40b4-b1b0-9e9ea503fd7e</t>
  </si>
  <si>
    <t>sigca_civica_infa_juve</t>
  </si>
  <si>
    <t>99d5df2f-3f84-457e-a2ff-2c63c7fdfbef</t>
  </si>
  <si>
    <t>https://us-east-1.quicksight.aws.amazon.com/sn/datasets/99d5df2f-3f84-457e-a2ff-2c63c7fdfbef</t>
  </si>
  <si>
    <t>usuarios_creados_iapol</t>
  </si>
  <si>
    <t>9b7dedc4-6f07-4a6d-ab07-4c1918b650e3</t>
  </si>
  <si>
    <t>https://us-east-1.quicksight.aws.amazon.com/sn/datasets/9b7dedc4-6f07-4a6d-ab07-4c1918b650e3</t>
  </si>
  <si>
    <t>raw_geopol_usr_pmu_actividades</t>
  </si>
  <si>
    <t>9c0e8844-813d-437e-82f0-0a5a92bf3a56</t>
  </si>
  <si>
    <t>https://us-east-1.quicksight.aws.amazon.com/sn/datasets/9c0e8844-813d-437e-82f0-0a5a92bf3a56</t>
  </si>
  <si>
    <t>delitos_agrupaciones</t>
  </si>
  <si>
    <t>9ddaa72b-7f08-42c7-b8dd-ebaf39b7104a</t>
  </si>
  <si>
    <t>https://us-east-1.quicksight.aws.amazon.com/sn/datasets/9ddaa72b-7f08-42c7-b8dd-ebaf39b7104a</t>
  </si>
  <si>
    <t>mediacion_persona_2</t>
  </si>
  <si>
    <t>9e582890-adcb-4abb-ab68-eb00d8644e6c</t>
  </si>
  <si>
    <t>https://us-east-1.quicksight.aws.amazon.com/sn/datasets/9e582890-adcb-4abb-ab68-eb00d8644e6c</t>
  </si>
  <si>
    <t>usr_disec.v_simep_intervinientes_arcgis</t>
  </si>
  <si>
    <t>a0ecd6b3-cb23-4081-ab88-93988ccea983</t>
  </si>
  <si>
    <t>https://us-east-1.quicksight.aws.amazon.com/sn/datasets/a0ecd6b3-cb23-4081-ab88-93988ccea983</t>
  </si>
  <si>
    <t>pedidos_por_motivo_secad_2018_al_2023</t>
  </si>
  <si>
    <t>a551bfab-b66c-4d48-a47e-5af01a591c87</t>
  </si>
  <si>
    <t>https://us-east-1.quicksight.aws.amazon.com/sn/datasets/a551bfab-b66c-4d48-a47e-5af01a591c87</t>
  </si>
  <si>
    <t>vista_actividades_descripcion</t>
  </si>
  <si>
    <t>a56fba7b-6087-4156-8f4f-59d2c1ed4882</t>
  </si>
  <si>
    <t>https://us-east-1.quicksight.aws.amazon.com/sn/datasets/a56fba7b-6087-4156-8f4f-59d2c1ed4882</t>
  </si>
  <si>
    <t>gestion_territorial</t>
  </si>
  <si>
    <t>a58bc4de-975c-433c-9737-70a03672d4ff</t>
  </si>
  <si>
    <t>https://us-east-1.quicksight.aws.amazon.com/sn/datasets/a58bc4de-975c-433c-9737-70a03672d4ff</t>
  </si>
  <si>
    <t>auditoria_version1</t>
  </si>
  <si>
    <t>a6012aeb-55c8-4e4f-8829-df68b61efd57</t>
  </si>
  <si>
    <t>https://us-east-1.quicksight.aws.amazon.com/sn/datasets/a6012aeb-55c8-4e4f-8829-df68b61efd57</t>
  </si>
  <si>
    <t>v_cuadrante_historial</t>
  </si>
  <si>
    <t>a6ac0a51-7aa0-4ad2-8d7f-052c1de1f644</t>
  </si>
  <si>
    <t>https://us-east-1.quicksight.aws.amazon.com/sn/datasets/a6ac0a51-7aa0-4ad2-8d7f-052c1de1f644</t>
  </si>
  <si>
    <t>pbx_final</t>
  </si>
  <si>
    <t>a75640a6-444c-4db4-8b0d-92d38c6586f4</t>
  </si>
  <si>
    <t>https://us-east-1.quicksight.aws.amazon.com/sn/datasets/a75640a6-444c-4db4-8b0d-92d38c6586f4</t>
  </si>
  <si>
    <t>cuadrantes_unicos</t>
  </si>
  <si>
    <t>a7c89bfe-9934-46a1-a505-fcc5328cd8c0</t>
  </si>
  <si>
    <t>https://us-east-1.quicksight.aws.amazon.com/sn/datasets/a7c89bfe-9934-46a1-a505-fcc5328cd8c0</t>
  </si>
  <si>
    <t>vista_pda_cuadrantes</t>
  </si>
  <si>
    <t>a82553ed-d644-400b-b57c-91fbf9bd9908</t>
  </si>
  <si>
    <t>https://us-east-1.quicksight.aws.amazon.com/sn/datasets/a82553ed-d644-400b-b57c-91fbf9bd9908</t>
  </si>
  <si>
    <t>a8779473-d068-4f0c-af21-455fd1e70ce9</t>
  </si>
  <si>
    <t>https://us-east-1.quicksight.aws.amazon.com/sn/datasets/a8779473-d068-4f0c-af21-455fd1e70ce9</t>
  </si>
  <si>
    <t>vista_vehiculos_cuadrante_diario</t>
  </si>
  <si>
    <t>a941cf5b-8bcb-4986-8387-20d4c3d053d3</t>
  </si>
  <si>
    <t>https://us-east-1.quicksight.aws.amazon.com/sn/datasets/a941cf5b-8bcb-4986-8387-20d4c3d053d3</t>
  </si>
  <si>
    <t>mediacion_seguimiento_3</t>
  </si>
  <si>
    <t>ad98be73-e0e4-4064-a08a-252a65c67bab</t>
  </si>
  <si>
    <t>https://us-east-1.quicksight.aws.amazon.com/sn/datasets/ad98be73-e0e4-4064-a08a-252a65c67bab</t>
  </si>
  <si>
    <t>v_monitoreo_final_clean</t>
  </si>
  <si>
    <t>ae3c5504-ab11-4d13-ac11-a2858981f904</t>
  </si>
  <si>
    <t>https://us-east-1.quicksight.aws.amazon.com/sn/datasets/ae3c5504-ab11-4d13-ac11-a2858981f904</t>
  </si>
  <si>
    <t>MediacionAcuerdo</t>
  </si>
  <si>
    <t>0369d58f-2a0b-421a-8fa3-d6f83d6b1e08</t>
  </si>
  <si>
    <t>https://us-east-1.quicksight.aws.amazon.com/sn/datasets/0369d58f-2a0b-421a-8fa3-d6f83d6b1e08</t>
  </si>
  <si>
    <t>ActoresPotenciales</t>
  </si>
  <si>
    <t>03bd9fd1-fa1e-417d-abbc-42b3abdb7aee</t>
  </si>
  <si>
    <t>https://us-east-1.quicksight.aws.amazon.com/sn/datasets/03bd9fd1-fa1e-417d-abbc-42b3abdb7aee</t>
  </si>
  <si>
    <t>0ae3c99a-e04c-4bcb-8975-378d469f4652</t>
  </si>
  <si>
    <t>https://us-east-1.quicksight.aws.amazon.com/sn/datasets/0ae3c99a-e04c-4bcb-8975-378d469f4652</t>
  </si>
  <si>
    <t>SeguimientoMedidaCorrectiva</t>
  </si>
  <si>
    <t>0e5a82b3-c695-491b-944f-703ce487ef09</t>
  </si>
  <si>
    <t>https://us-east-1.quicksight.aws.amazon.com/sn/datasets/0e5a82b3-c695-491b-944f-703ce487ef09</t>
  </si>
  <si>
    <t>pon-prod-expertopol-delitos_limpio</t>
  </si>
  <si>
    <t>1ca2e81f-6923-4bd6-978c-cfb945572e4a</t>
  </si>
  <si>
    <t>https://us-east-1.quicksight.aws.amazon.com/sn/datasets/1ca2e81f-6923-4bd6-978c-cfb945572e4a</t>
  </si>
  <si>
    <t>MediacionCausa</t>
  </si>
  <si>
    <t>1fadff3e-ed28-4cf8-a7cc-692a935b8f5e</t>
  </si>
  <si>
    <t>https://us-east-1.quicksight.aws.amazon.com/sn/datasets/1fadff3e-ed28-4cf8-a7cc-692a935b8f5e</t>
  </si>
  <si>
    <t>MediacionInvitacion</t>
  </si>
  <si>
    <t>200f80e8-87ea-460b-93af-64ed88051037</t>
  </si>
  <si>
    <t>https://us-east-1.quicksight.aws.amazon.com/sn/datasets/200f80e8-87ea-460b-93af-64ed88051037</t>
  </si>
  <si>
    <t>MediacionSAla</t>
  </si>
  <si>
    <t>273efee2-434f-4070-9373-22cf6536a60f</t>
  </si>
  <si>
    <t>https://us-east-1.quicksight.aws.amazon.com/sn/datasets/273efee2-434f-4070-9373-22cf6536a60f</t>
  </si>
  <si>
    <t>pon-prod-inventario-recursos</t>
  </si>
  <si>
    <t>317d5210-b6e8-411a-a059-5791b9f200a7</t>
  </si>
  <si>
    <t>https://us-east-1.quicksight.aws.amazon.com/sn/datasets/317d5210-b6e8-411a-a059-5791b9f200a7</t>
  </si>
  <si>
    <t>clasificacion_llamada</t>
  </si>
  <si>
    <t>36c3c87f-7029-4bdf-b556-34a89684a514</t>
  </si>
  <si>
    <t>https://us-east-1.quicksight.aws.amazon.com/sn/datasets/36c3c87f-7029-4bdf-b556-34a89684a514</t>
  </si>
  <si>
    <t>pon-prod-expertopol-delitos</t>
  </si>
  <si>
    <t>3afcfa1c-dee4-455d-be3a-b1c57219ff4b</t>
  </si>
  <si>
    <t>https://us-east-1.quicksight.aws.amazon.com/sn/datasets/3afcfa1c-dee4-455d-be3a-b1c57219ff4b</t>
  </si>
  <si>
    <t>V_PEDIDO_ATENDIDO_SECAD_MEBAR</t>
  </si>
  <si>
    <t>3d892802-1fcc-44e9-a0e9-737b0ab020ca</t>
  </si>
  <si>
    <t>https://us-east-1.quicksight.aws.amazon.com/sn/datasets/3d892802-1fcc-44e9-a0e9-737b0ab020ca</t>
  </si>
  <si>
    <t>HOMICIDIOS</t>
  </si>
  <si>
    <t>481f3f63-82ff-4534-98a9-c61cd0cb6e3e</t>
  </si>
  <si>
    <t>https://us-east-1.quicksight.aws.amazon.com/sn/datasets/481f3f63-82ff-4534-98a9-c61cd0cb6e3e</t>
  </si>
  <si>
    <t>MediacionReunion</t>
  </si>
  <si>
    <t>50a853a2-9dde-40c9-ade4-3ea7c50833c9</t>
  </si>
  <si>
    <t>https://us-east-1.quicksight.aws.amazon.com/sn/datasets/50a853a2-9dde-40c9-ade4-3ea7c50833c9</t>
  </si>
  <si>
    <t>VisitaAcompañamiento</t>
  </si>
  <si>
    <t>5baf0243-cbf3-46af-a585-82cf98b94083</t>
  </si>
  <si>
    <t>https://us-east-1.quicksight.aws.amazon.com/sn/datasets/5baf0243-cbf3-46af-a585-82cf98b94083</t>
  </si>
  <si>
    <t>pon-prod-expertopol-operaciones</t>
  </si>
  <si>
    <t>61a33766-f08e-4f93-938d-5b8c03e5216d</t>
  </si>
  <si>
    <t>https://us-east-1.quicksight.aws.amazon.com/sn/datasets/61a33766-f08e-4f93-938d-5b8c03e5216d</t>
  </si>
  <si>
    <t>AcuerdosSinSeguimiento</t>
  </si>
  <si>
    <t>6920e90f-0c60-45ec-b83d-e96ecba3a537</t>
  </si>
  <si>
    <t>https://us-east-1.quicksight.aws.amazon.com/sn/datasets/6920e90f-0c60-45ec-b83d-e96ecba3a537</t>
  </si>
  <si>
    <t>User_Roles</t>
  </si>
  <si>
    <t>75d9803d-1475-47cf-9c9a-de0c5b163381</t>
  </si>
  <si>
    <t>https://us-east-1.quicksight.aws.amazon.com/sn/datasets/75d9803d-1475-47cf-9c9a-de0c5b163381</t>
  </si>
  <si>
    <t>hexagon</t>
  </si>
  <si>
    <t>80c24117-452c-45ca-8bb8-f711ccc98344</t>
  </si>
  <si>
    <t>https://us-east-1.quicksight.aws.amazon.com/sn/datasets/80c24117-452c-45ca-8bb8-f711ccc98344</t>
  </si>
  <si>
    <t>v_pedido</t>
  </si>
  <si>
    <t>838d37b7-c168-44c6-a8fd-c0e66ff2fd26</t>
  </si>
  <si>
    <t>https://us-east-1.quicksight.aws.amazon.com/sn/datasets/838d37b7-c168-44c6-a8fd-c0e66ff2fd26</t>
  </si>
  <si>
    <t>control_estado_carga</t>
  </si>
  <si>
    <t>89e22211-a52f-4472-99e0-d9ff9b583402</t>
  </si>
  <si>
    <t>https://us-east-1.quicksight.aws.amazon.com/sn/datasets/89e22211-a52f-4472-99e0-d9ff9b583402</t>
  </si>
  <si>
    <t>V_PEDIDO_ATENDIDO_SECAD</t>
  </si>
  <si>
    <t>8a7550d6-e133-4d2c-91d8-16716491cdd7</t>
  </si>
  <si>
    <t>https://us-east-1.quicksight.aws.amazon.com/sn/datasets/8a7550d6-e133-4d2c-91d8-16716491cdd7</t>
  </si>
  <si>
    <t>pon-prod-personal-cargos</t>
  </si>
  <si>
    <t>8b111202-b419-4880-8f58-581fc56acd36</t>
  </si>
  <si>
    <t>https://us-east-1.quicksight.aws.amazon.com/sn/datasets/8b111202-b419-4880-8f58-581fc56acd36</t>
  </si>
  <si>
    <t>MediacionMotivo</t>
  </si>
  <si>
    <t>944335bc-12eb-4710-9459-ef812c82e338</t>
  </si>
  <si>
    <t>https://us-east-1.quicksight.aws.amazon.com/sn/datasets/944335bc-12eb-4710-9459-ef812c82e338</t>
  </si>
  <si>
    <t>medidas_autos_s3_test</t>
  </si>
  <si>
    <t>94b76bcd-6767-433b-9f84-7108d9e0ae6c</t>
  </si>
  <si>
    <t>https://us-east-1.quicksight.aws.amazon.com/sn/datasets/94b76bcd-6767-433b-9f84-7108d9e0ae6c</t>
  </si>
  <si>
    <t>vw_consolidado_ali</t>
  </si>
  <si>
    <t>95a56002-de61-4cac-a7b1-e43f147531b9</t>
  </si>
  <si>
    <t>https://us-east-1.quicksight.aws.amazon.com/sn/datasets/95a56002-de61-4cac-a7b1-e43f147531b9</t>
  </si>
  <si>
    <t>a0517bdc-2aa7-44f9-9805-12c1f7809930</t>
  </si>
  <si>
    <t>https://us-east-1.quicksight.aws.amazon.com/sn/datasets/a0517bdc-2aa7-44f9-9805-12c1f7809930</t>
  </si>
  <si>
    <t>MediacionAsistencia</t>
  </si>
  <si>
    <t>a163f9ef-bb15-4915-bdde-b204dc9f36fe</t>
  </si>
  <si>
    <t>https://us-east-1.quicksight.aws.amazon.com/sn/datasets/a163f9ef-bb15-4915-bdde-b204dc9f36fe</t>
  </si>
  <si>
    <t>a7ade7b8-06cc-43a3-8876-4e363dfed397</t>
  </si>
  <si>
    <t>https://us-east-1.quicksight.aws.amazon.com/sn/datasets/a7ade7b8-06cc-43a3-8876-4e363dfed397</t>
  </si>
  <si>
    <t>v_mebog</t>
  </si>
  <si>
    <t>b84ffa91-71f3-4020-a5ad-6ba6bec7eda4</t>
  </si>
  <si>
    <t>https://us-east-1.quicksight.aws.amazon.com/sn/datasets/b84ffa91-71f3-4020-a5ad-6ba6bec7eda4</t>
  </si>
  <si>
    <t>SolicitudMedida</t>
  </si>
  <si>
    <t>c068757e-1fe5-40c6-b05d-bbb6241a7c5e</t>
  </si>
  <si>
    <t>https://us-east-1.quicksight.aws.amazon.com/sn/datasets/c068757e-1fe5-40c6-b05d-bbb6241a7c5e</t>
  </si>
  <si>
    <t>MediacionPersona</t>
  </si>
  <si>
    <t>c10dfa9d-69cf-47f5-b0c3-46df4e13321d</t>
  </si>
  <si>
    <t>https://us-east-1.quicksight.aws.amazon.com/sn/datasets/c10dfa9d-69cf-47f5-b0c3-46df4e13321d</t>
  </si>
  <si>
    <t>Boletin Z1</t>
  </si>
  <si>
    <t>c727754f-9a39-455f-a599-cc67ecfbc5f5</t>
  </si>
  <si>
    <t>https://us-east-1.quicksight.aws.amazon.com/sn/datasets/c727754f-9a39-455f-a599-cc67ecfbc5f5</t>
  </si>
  <si>
    <t>vw_pedidos_ali</t>
  </si>
  <si>
    <t>cbb3c504-bc27-4f80-b5b0-e8a495d8b075</t>
  </si>
  <si>
    <t>https://us-east-1.quicksight.aws.amazon.com/sn/datasets/cbb3c504-bc27-4f80-b5b0-e8a495d8b075</t>
  </si>
  <si>
    <t>cc8ff60f-cd1f-41bd-9d01-9c68eddb2d8d</t>
  </si>
  <si>
    <t>https://us-east-1.quicksight.aws.amazon.com/sn/datasets/cc8ff60f-cd1f-41bd-9d01-9c68eddb2d8d</t>
  </si>
  <si>
    <t>Certificaciones IAPOL Dashboard</t>
  </si>
  <si>
    <t>certificaciones-iapol-dashboard</t>
  </si>
  <si>
    <t>https://us-east-1.quicksight.aws.amazon.com/sn/datasets/certificaciones-iapol-dashboard</t>
  </si>
  <si>
    <t>Certificaciones IAPOL - Personas y cobertura</t>
  </si>
  <si>
    <t>certificaciones-iapol-personas</t>
  </si>
  <si>
    <t>https://us-east-1.quicksight.aws.amazon.com/sn/datasets/certificaciones-iapol-personas</t>
  </si>
  <si>
    <t>Certificaciones IAPOL - Preguntas y respuestas</t>
  </si>
  <si>
    <t>certificaciones-iapol-respuestas</t>
  </si>
  <si>
    <t>https://us-east-1.quicksight.aws.amazon.com/sn/datasets/certificaciones-iapol-respuestas</t>
  </si>
  <si>
    <t>premier_one_date_formatted</t>
  </si>
  <si>
    <t>d8f469fd-2caf-4640-8e08-33dcc727dc92</t>
  </si>
  <si>
    <t>https://us-east-1.quicksight.aws.amazon.com/sn/datasets/d8f469fd-2caf-4640-8e08-33dcc727dc92</t>
  </si>
  <si>
    <t>pon-prod-expertopol-auditoria</t>
  </si>
  <si>
    <t>e40ca4ba-ad98-4a38-b554-456c658918da</t>
  </si>
  <si>
    <t>https://us-east-1.quicksight.aws.amazon.com/sn/datasets/e40ca4ba-ad98-4a38-b554-456c658918da</t>
  </si>
  <si>
    <t>e437b767-1b78-4562-ad32-4e8d38cb2fbf</t>
  </si>
  <si>
    <t>https://us-east-1.quicksight.aws.amazon.com/sn/datasets/e437b767-1b78-4562-ad32-4e8d38cb2fbf</t>
  </si>
  <si>
    <t>pon-prod-expertopol-capturas</t>
  </si>
  <si>
    <t>e541d915-7e4b-41af-87bd-c12f9f73e969</t>
  </si>
  <si>
    <t>https://us-east-1.quicksight.aws.amazon.com/sn/datasets/e541d915-7e4b-41af-87bd-c12f9f73e969</t>
  </si>
  <si>
    <t>MediacionSeguimineto</t>
  </si>
  <si>
    <t>f15a5954-b02e-468e-856a-d271a4d73c95</t>
  </si>
  <si>
    <t>https://us-east-1.quicksight.aws.amazon.com/sn/datasets/f15a5954-b02e-468e-856a-d271a4d73c95</t>
  </si>
  <si>
    <t>intervinientes_agrupados_view</t>
  </si>
  <si>
    <t>b2f20a5f-1614-4a8f-99b5-2ee2f6755940</t>
  </si>
  <si>
    <t>https://us-east-1.quicksight.aws.amazon.com/sn/datasets/b2f20a5f-1614-4a8f-99b5-2ee2f6755940</t>
  </si>
  <si>
    <t>vista_armas_cuadrante_historico</t>
  </si>
  <si>
    <t>b628d016-74f6-4d89-abaf-e84a15b2edce</t>
  </si>
  <si>
    <t>https://us-east-1.quicksight.aws.amazon.com/sn/datasets/b628d016-74f6-4d89-abaf-e84a15b2edce</t>
  </si>
  <si>
    <t>b81ef79a-9385-4051-afc4-5ac2c478cc5e</t>
  </si>
  <si>
    <t>https://us-east-1.quicksight.aws.amazon.com/sn/datasets/b81ef79a-9385-4051-afc4-5ac2c478cc5e</t>
  </si>
  <si>
    <t>raw_telepol_usr_sisec_sigco_dominio</t>
  </si>
  <si>
    <t>bad886da-dda2-44c8-8786-caf40e2adc04</t>
  </si>
  <si>
    <t>https://us-east-1.quicksight.aws.amazon.com/sn/datasets/bad886da-dda2-44c8-8786-caf40e2adc04</t>
  </si>
  <si>
    <t>v_empleado_cuadrante</t>
  </si>
  <si>
    <t>bf512fa4-5383-4089-97ae-be657369d732</t>
  </si>
  <si>
    <t>https://us-east-1.quicksight.aws.amazon.com/sn/datasets/bf512fa4-5383-4089-97ae-be657369d732</t>
  </si>
  <si>
    <t>datos_descargar_mediacion_version_3</t>
  </si>
  <si>
    <t>c356acfd-ac13-4a39-8014-a886096bb20c</t>
  </si>
  <si>
    <t>https://us-east-1.quicksight.aws.amazon.com/sn/datasets/c356acfd-ac13-4a39-8014-a886096bb20c</t>
  </si>
  <si>
    <t>Data_Semana_Madres</t>
  </si>
  <si>
    <t>c8814f94-63e8-40f7-9dc5-fc72cd9c30c6</t>
  </si>
  <si>
    <t>https://us-east-1.quicksight.aws.amazon.com/sn/datasets/c8814f94-63e8-40f7-9dc5-fc72cd9c30c6</t>
  </si>
  <si>
    <t xml:space="preserve">vista_empleado_cuadrante
</t>
  </si>
  <si>
    <t>c90674fd-38db-4810-bd52-8a66009bdc65</t>
  </si>
  <si>
    <t>https://us-east-1.quicksight.aws.amazon.com/sn/datasets/c90674fd-38db-4810-bd52-8a66009bdc65</t>
  </si>
  <si>
    <t>events_with_parents_2</t>
  </si>
  <si>
    <t>cab8f69f-0cee-4825-bb98-fb93b86c4580</t>
  </si>
  <si>
    <t>https://us-east-1.quicksight.aws.amazon.com/sn/datasets/cab8f69f-0cee-4825-bb98-fb93b86c4580</t>
  </si>
  <si>
    <t>vista_armas_cuadrante_diario</t>
  </si>
  <si>
    <t>cad1c8ec-7177-45fc-ba78-dfb294b38252</t>
  </si>
  <si>
    <t>https://us-east-1.quicksight.aws.amazon.com/sn/datasets/cad1c8ec-7177-45fc-ba78-dfb294b38252</t>
  </si>
  <si>
    <t>v_control_files</t>
  </si>
  <si>
    <t>cb86d599-0567-4953-b1b5-9f37ebf53c4e</t>
  </si>
  <si>
    <t>https://us-east-1.quicksight.aws.amazon.com/sn/datasets/cb86d599-0567-4953-b1b5-9f37ebf53c4e</t>
  </si>
  <si>
    <t>v_pedido_atendido_piloto</t>
  </si>
  <si>
    <t>cc7edf02-ec16-4d51-8713-df893b611a71</t>
  </si>
  <si>
    <t>https://us-east-1.quicksight.aws.amazon.com/sn/datasets/cc7edf02-ec16-4d51-8713-df893b611a71</t>
  </si>
  <si>
    <t>vista_tamir</t>
  </si>
  <si>
    <t>ccc9f925-3843-4b9c-9df2-9ccbf1ec20b8</t>
  </si>
  <si>
    <t>https://us-east-1.quicksight.aws.amazon.com/sn/datasets/ccc9f925-3843-4b9c-9df2-9ccbf1ec20b8</t>
  </si>
  <si>
    <t>d0d844a5-0602-4e43-8211-42c33b1757c2</t>
  </si>
  <si>
    <t>https://us-east-1.quicksight.aws.amazon.com/sn/datasets/d0d844a5-0602-4e43-8211-42c33b1757c2</t>
  </si>
  <si>
    <t>control-users-keycloak-db</t>
  </si>
  <si>
    <t>d1c9e5ef-8e3f-4c84-bd41-1d933d7d241b</t>
  </si>
  <si>
    <t>https://us-east-1.quicksight.aws.amazon.com/sn/datasets/d1c9e5ef-8e3f-4c84-bd41-1d933d7d241b</t>
  </si>
  <si>
    <t>mediacion_motivo_3</t>
  </si>
  <si>
    <t>d1d4c809-f4d1-4d69-b487-487f8dd90038</t>
  </si>
  <si>
    <t>https://us-east-1.quicksight.aws.amazon.com/sn/datasets/d1d4c809-f4d1-4d69-b487-487f8dd90038</t>
  </si>
  <si>
    <t>rawvm_planes_preventivos</t>
  </si>
  <si>
    <t>d20f3176-8475-4d28-9343-fe3ab1c137e5</t>
  </si>
  <si>
    <t>https://us-east-1.quicksight.aws.amazon.com/sn/datasets/d20f3176-8475-4d28-9343-fe3ab1c137e5</t>
  </si>
  <si>
    <t>sigca_civica_mayores</t>
  </si>
  <si>
    <t>d26eacdd-7d2a-4efc-9ad7-6b3e03c62f7d</t>
  </si>
  <si>
    <t>https://us-east-1.quicksight.aws.amazon.com/sn/datasets/d26eacdd-7d2a-4efc-9ad7-6b3e03c62f7d</t>
  </si>
  <si>
    <t xml:space="preserve">Anexo 1 Formulario Modelo explotación de datos_para descarga.xlsx
</t>
  </si>
  <si>
    <t>d48c81ec-befa-493c-81c0-e1015a27afc5</t>
  </si>
  <si>
    <t>https://us-east-1.quicksight.aws.amazon.com/sn/datasets/d48c81ec-befa-493c-81c0-e1015a27afc5</t>
  </si>
  <si>
    <t>vista_minutas</t>
  </si>
  <si>
    <t>d7b87036-c333-45af-8f9d-727d5aa65929</t>
  </si>
  <si>
    <t>https://us-east-1.quicksight.aws.amazon.com/sn/datasets/d7b87036-c333-45af-8f9d-727d5aa65929</t>
  </si>
  <si>
    <t>vista_reuniones_situ</t>
  </si>
  <si>
    <t>dad6c98e-c3ca-43d1-8e30-ec6e9a2ffb06</t>
  </si>
  <si>
    <t>https://us-east-1.quicksight.aws.amazon.com/sn/datasets/dad6c98e-c3ca-43d1-8e30-ec6e9a2ffb06</t>
  </si>
  <si>
    <t>prediccion</t>
  </si>
  <si>
    <t>db2f737a-3781-4220-b22e-e0da9ae49234</t>
  </si>
  <si>
    <t>https://us-east-1.quicksight.aws.amazon.com/sn/datasets/db2f737a-3781-4220-b22e-e0da9ae49234</t>
  </si>
  <si>
    <t>raw_disec_usr_disec_seget_proyecto</t>
  </si>
  <si>
    <t>dcd88796-9beb-4ad0-8b7a-1313ea789c00</t>
  </si>
  <si>
    <t>https://us-east-1.quicksight.aws.amazon.com/sn/datasets/dcd88796-9beb-4ad0-8b7a-1313ea789c00</t>
  </si>
  <si>
    <t>vista_motos_cuadrante</t>
  </si>
  <si>
    <t>dd94e190-9096-475d-a031-91caad4c3ec7</t>
  </si>
  <si>
    <t>https://us-east-1.quicksight.aws.amazon.com/sn/datasets/dd94e190-9096-475d-a031-91caad4c3ec7</t>
  </si>
  <si>
    <t>cuadrantes_patrulla</t>
  </si>
  <si>
    <t>de58059d-5ee7-4f17-a3cb-7563b1089c56</t>
  </si>
  <si>
    <t>https://us-east-1.quicksight.aws.amazon.com/sn/datasets/de58059d-5ee7-4f17-a3cb-7563b1089c56</t>
  </si>
  <si>
    <t>e3441f5b-19fc-4cbc-b7ab-0335463ca0a3</t>
  </si>
  <si>
    <t>https://us-east-1.quicksight.aws.amazon.com/sn/datasets/e3441f5b-19fc-4cbc-b7ab-0335463ca0a3</t>
  </si>
  <si>
    <t>vw_delitos_corregido_schema</t>
  </si>
  <si>
    <t>e5b74d38-4c7e-41b8-8dd7-f8760d4fb3b6</t>
  </si>
  <si>
    <t>https://us-east-1.quicksight.aws.amazon.com/sn/datasets/e5b74d38-4c7e-41b8-8dd7-f8760d4fb3b6</t>
  </si>
  <si>
    <t>VI_MINUTA_EMPLEADOS_202409260349</t>
  </si>
  <si>
    <t>ea4be3eb-5e86-458f-9df1-b14ec09b94ac</t>
  </si>
  <si>
    <t>https://us-east-1.quicksight.aws.amazon.com/sn/datasets/ea4be3eb-5e86-458f-9df1-b14ec09b94ac</t>
  </si>
  <si>
    <t>sigco_gestion_comunitaria</t>
  </si>
  <si>
    <t>ea9bde07-6373-4d7b-a09c-734c8f8d9c67</t>
  </si>
  <si>
    <t>https://us-east-1.quicksight.aws.amazon.com/sn/datasets/ea9bde07-6373-4d7b-a09c-734c8f8d9c67</t>
  </si>
  <si>
    <t>boletin z1_v2</t>
  </si>
  <si>
    <t>ebdfed27-83a6-44a8-90a6-3b91c71e7553</t>
  </si>
  <si>
    <t>https://us-east-1.quicksight.aws.amazon.com/sn/datasets/ebdfed27-83a6-44a8-90a6-3b91c71e7553</t>
  </si>
  <si>
    <t>vista_cuadrantes_numero_empleados_mensual</t>
  </si>
  <si>
    <t>edd5dfbb-2e15-46f5-92c0-57da4930eefd</t>
  </si>
  <si>
    <t>https://us-east-1.quicksight.aws.amazon.com/sn/datasets/edd5dfbb-2e15-46f5-92c0-57da4930eefd</t>
  </si>
  <si>
    <t>v_qs_refresh_monitor</t>
  </si>
  <si>
    <t>ee2f3891-e636-46b3-a851-85b52060bd9b</t>
  </si>
  <si>
    <t>https://us-east-1.quicksight.aws.amazon.com/sn/datasets/ee2f3891-e636-46b3-a851-85b52060bd9b</t>
  </si>
  <si>
    <t>ee94e0f6-b4aa-4799-99f6-883c72904e66</t>
  </si>
  <si>
    <t>https://us-east-1.quicksight.aws.amazon.com/sn/datasets/ee94e0f6-b4aa-4799-99f6-883c72904e66</t>
  </si>
  <si>
    <t>RawData_SIEDCO_Semana_Madres</t>
  </si>
  <si>
    <t>eefebe17-bcf8-4db6-b72c-3e451bd57b05</t>
  </si>
  <si>
    <t>https://us-east-1.quicksight.aws.amazon.com/sn/datasets/eefebe17-bcf8-4db6-b72c-3e451bd57b05</t>
  </si>
  <si>
    <t>f0c5cd39-cd63-425b-a040-279b38ea1f64</t>
  </si>
  <si>
    <t>https://us-east-1.quicksight.aws.amazon.com/sn/datasets/f0c5cd39-cd63-425b-a040-279b38ea1f64</t>
  </si>
  <si>
    <t>f1e7d587-0182-4664-9f11-13856ddf70ae</t>
  </si>
  <si>
    <t>f8ac1e3e-f035-4428-ba09-c11fe81dbea6</t>
  </si>
  <si>
    <t>https://us-east-1.quicksight.aws.amazon.com/sn/account/mdp-ponal/data-sets/f8ac1e3e-f035-4428-ba09-c11fe81dbea6/view</t>
  </si>
  <si>
    <t>actores_potenciales_prueba</t>
  </si>
  <si>
    <t>fde5a439-4beb-44a2-a82b-fa4a342ab875</t>
  </si>
  <si>
    <t>https://us-east-1.quicksight.aws.amazon.com/sn/datasets/fde5a439-4beb-44a2-a82b-fa4a342ab875</t>
  </si>
  <si>
    <t>vista_armas_capacidad</t>
  </si>
  <si>
    <t>fdec485e-bfa9-470a-bb6c-556dda46ba2c</t>
  </si>
  <si>
    <t>https://us-east-1.quicksight.aws.amazon.com/sn/datasets/fdec485e-bfa9-470a-bb6c-556dda46ba2c</t>
  </si>
  <si>
    <t>VEHICULO-CUADRANTES</t>
  </si>
  <si>
    <t>fe048c00-b931-4c2e-8a60-a20304684c15</t>
  </si>
  <si>
    <t>https://us-east-1.quicksight.aws.amazon.com/sn/datasets/fe048c00-b931-4c2e-8a60-a20304684c15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</si>
</sst>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name val="Arial"/>
      <family val="2"/>
    </font>
    <font>
      <sz val="11"/>
      <color theme="10"/>
      <name val="Aptos Narrow"/>
      <charset val="1"/>
    </font>
    <font>
      <sz val="11"/>
      <color theme="1"/>
      <name val="Aptos Narrow"/>
      <charset val="1"/>
    </font>
    <font>
      <sz val="11"/>
      <color theme="1"/>
      <name val="Times New Roman"/>
      <charset val="1"/>
    </font>
    <font>
      <sz val="11"/>
      <color theme="10"/>
      <name val="Times New Roman"/>
      <charset val="1"/>
    </font>
    <font>
      <sz val="11"/>
      <color rgb="FF467886"/>
      <name val="Times New Roman"/>
      <charset val="1"/>
    </font>
    <font>
      <sz val="11"/>
      <color theme="0"/>
      <name val="Times New Roman"/>
      <charset val="1"/>
    </font>
    <font>
      <sz val="11"/>
      <color rgb="FF000000"/>
      <name val="Times New Roman"/>
      <charset val="1"/>
    </font>
    <font>
      <sz val="11"/>
      <color rgb="FFE8F2A1"/>
      <name val="Times New Roman"/>
      <charset val="1"/>
    </font>
    <font>
      <sz val="11"/>
      <name val="Times New Roman"/>
      <charset val="1"/>
    </font>
    <font>
      <u/>
      <sz val="10"/>
      <color theme="10"/>
      <name val="Arial"/>
      <family val="2"/>
    </font>
    <font>
      <sz val="11"/>
      <color rgb="FF333333"/>
      <name val="Amazon Ember"/>
      <charset val="1"/>
    </font>
    <font>
      <u/>
      <sz val="10"/>
      <color rgb="FF000000"/>
      <name val="Arial"/>
      <family val="2"/>
    </font>
    <font>
      <u/>
      <sz val="10"/>
      <color theme="0"/>
      <name val="Arial"/>
      <family val="2"/>
    </font>
    <font>
      <sz val="11"/>
      <color rgb="FF242424"/>
      <name val="Aptos Narrow"/>
      <charset val="1"/>
    </font>
    <font>
      <sz val="10"/>
      <color theme="0"/>
      <name val="BrandFont"/>
      <charset val="1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1"/>
      <color theme="0"/>
      <name val="Aptos Narrow"/>
      <charset val="1"/>
    </font>
    <font>
      <sz val="10"/>
      <color rgb="FF000000"/>
      <name val="Arial"/>
    </font>
    <font>
      <b/>
      <i/>
      <u/>
      <sz val="10"/>
      <color rgb="FF000000"/>
      <name val="Arial"/>
    </font>
    <font>
      <sz val="11"/>
      <color rgb="FF000000"/>
      <name val="Carlito"/>
    </font>
    <font>
      <sz val="11"/>
      <color theme="0"/>
      <name val="Carlito"/>
    </font>
    <font>
      <sz val="7"/>
      <color theme="0"/>
      <name val="Amazon Ember"/>
      <charset val="1"/>
    </font>
    <font>
      <u/>
      <sz val="10"/>
      <color theme="4" tint="0.79998168889431442"/>
      <name val="Arial"/>
      <family val="2"/>
    </font>
    <font>
      <sz val="10"/>
      <color rgb="FFFF0000"/>
      <name val="Arial"/>
      <family val="2"/>
    </font>
    <font>
      <sz val="10"/>
      <color theme="6"/>
      <name val="Arial"/>
      <family val="2"/>
    </font>
    <font>
      <sz val="10"/>
      <color theme="8" tint="0.39997558519241921"/>
      <name val="Arial"/>
      <family val="2"/>
    </font>
    <font>
      <sz val="10"/>
      <color theme="4"/>
      <name val="Arial"/>
      <family val="2"/>
    </font>
    <font>
      <sz val="11"/>
      <color theme="1"/>
      <name val="Carlito"/>
    </font>
    <font>
      <sz val="10"/>
      <color rgb="FF000000"/>
      <name val="Arial"/>
      <family val="2"/>
      <charset val="1"/>
    </font>
    <font>
      <u/>
      <sz val="10"/>
      <color theme="1"/>
      <name val="Arial"/>
      <family val="2"/>
    </font>
    <font>
      <sz val="10"/>
      <name val="Liberation Sans"/>
      <charset val="1"/>
    </font>
    <font>
      <sz val="10"/>
      <color theme="0"/>
      <name val="Liberation Sans"/>
      <charset val="1"/>
    </font>
    <font>
      <sz val="10"/>
      <color theme="1"/>
      <name val="Liberation Sans"/>
      <charset val="1"/>
    </font>
    <font>
      <sz val="7"/>
      <color theme="0"/>
      <name val="Amazon Ember"/>
      <family val="2"/>
      <charset val="1"/>
    </font>
    <font>
      <b/>
      <sz val="10"/>
      <name val="Arial"/>
      <family val="2"/>
    </font>
    <font>
      <b/>
      <sz val="11"/>
      <color theme="1"/>
      <name val="Carlito"/>
    </font>
    <font>
      <b/>
      <u/>
      <sz val="10"/>
      <color theme="1"/>
      <name val="Arial"/>
      <family val="2"/>
    </font>
    <font>
      <sz val="10"/>
      <color rgb="FF000000"/>
      <name val="Liberation Sans"/>
      <charset val="1"/>
    </font>
  </fonts>
  <fills count="42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1" tint="0.3498947111423078"/>
        <bgColor rgb="FF747474"/>
      </patternFill>
    </fill>
    <fill>
      <patternFill patternType="solid">
        <fgColor rgb="FFFF0000"/>
        <bgColor rgb="FF993300"/>
      </patternFill>
    </fill>
    <fill>
      <patternFill patternType="solid">
        <fgColor rgb="FF0070C0"/>
        <bgColor rgb="FF156082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8" tint="-0.249977111117893"/>
        <bgColor rgb="FF993366"/>
      </patternFill>
    </fill>
    <fill>
      <patternFill patternType="solid">
        <fgColor theme="7"/>
        <bgColor rgb="FF0070C0"/>
      </patternFill>
    </fill>
    <fill>
      <patternFill patternType="solid">
        <fgColor theme="4"/>
        <bgColor rgb="FF0070C0"/>
      </patternFill>
    </fill>
    <fill>
      <patternFill patternType="solid">
        <fgColor theme="5" tint="0.39988402966399123"/>
        <bgColor rgb="FFE59EDD"/>
      </patternFill>
    </fill>
    <fill>
      <patternFill patternType="solid">
        <fgColor theme="9" tint="0.59987182226020086"/>
        <bgColor rgb="FFE8F2A1"/>
      </patternFill>
    </fill>
    <fill>
      <patternFill patternType="solid">
        <fgColor theme="8" tint="0.59987182226020086"/>
        <bgColor rgb="FFCC99FF"/>
      </patternFill>
    </fill>
    <fill>
      <patternFill patternType="solid">
        <fgColor theme="4" tint="-0.499984740745262"/>
        <bgColor rgb="FF13501B"/>
      </patternFill>
    </fill>
    <fill>
      <patternFill patternType="solid">
        <fgColor theme="5" tint="0.79989013336588644"/>
        <bgColor rgb="FFE8F2A1"/>
      </patternFill>
    </fill>
    <fill>
      <patternFill patternType="solid">
        <fgColor theme="6" tint="-0.249977111117893"/>
        <bgColor rgb="FF0B3041"/>
      </patternFill>
    </fill>
    <fill>
      <patternFill patternType="solid">
        <fgColor theme="5"/>
        <bgColor rgb="FFFF8080"/>
      </patternFill>
    </fill>
    <fill>
      <patternFill patternType="solid">
        <fgColor theme="2" tint="-0.499984740745262"/>
        <bgColor rgb="FF467886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57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032D0"/>
        <bgColor indexed="64"/>
      </patternFill>
    </fill>
  </fills>
  <borders count="27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1" fillId="0" borderId="0" applyBorder="0" applyAlignment="0" applyProtection="0"/>
    <xf numFmtId="0" fontId="2" fillId="0" borderId="0"/>
  </cellStyleXfs>
  <cellXfs count="194">
    <xf numFmtId="0" fontId="0" fillId="0" borderId="0" xfId="0"/>
    <xf numFmtId="0" fontId="3" fillId="0" borderId="0" xfId="3" applyFont="1"/>
    <xf numFmtId="0" fontId="8" fillId="0" borderId="0" xfId="3" applyFont="1"/>
    <xf numFmtId="0" fontId="3" fillId="0" borderId="4" xfId="3" applyFont="1" applyBorder="1"/>
    <xf numFmtId="0" fontId="3" fillId="0" borderId="4" xfId="3" applyFont="1" applyBorder="1" applyAlignment="1">
      <alignment wrapText="1"/>
    </xf>
    <xf numFmtId="0" fontId="10" fillId="0" borderId="4" xfId="1" applyBorder="1" applyAlignment="1" applyProtection="1"/>
    <xf numFmtId="0" fontId="5" fillId="0" borderId="4" xfId="2" applyFont="1" applyBorder="1" applyAlignment="1" applyProtection="1"/>
    <xf numFmtId="0" fontId="4" fillId="0" borderId="4" xfId="2" applyFont="1" applyBorder="1" applyAlignment="1" applyProtection="1"/>
    <xf numFmtId="0" fontId="6" fillId="3" borderId="4" xfId="3" applyFont="1" applyFill="1" applyBorder="1" applyAlignment="1">
      <alignment horizontal="center" vertical="center"/>
    </xf>
    <xf numFmtId="0" fontId="4" fillId="0" borderId="4" xfId="2" applyFont="1" applyBorder="1" applyAlignment="1" applyProtection="1">
      <alignment horizontal="left" vertical="center" wrapText="1"/>
    </xf>
    <xf numFmtId="0" fontId="7" fillId="0" borderId="4" xfId="3" applyFont="1" applyBorder="1"/>
    <xf numFmtId="0" fontId="5" fillId="0" borderId="4" xfId="2" applyFont="1" applyBorder="1" applyAlignment="1" applyProtection="1">
      <alignment horizontal="left" vertical="center" wrapText="1"/>
    </xf>
    <xf numFmtId="0" fontId="7" fillId="0" borderId="4" xfId="3" applyFont="1" applyBorder="1" applyAlignment="1">
      <alignment horizontal="left" vertical="center" wrapText="1"/>
    </xf>
    <xf numFmtId="0" fontId="4" fillId="0" borderId="4" xfId="2" applyFont="1" applyBorder="1" applyAlignment="1" applyProtection="1">
      <alignment wrapText="1"/>
    </xf>
    <xf numFmtId="0" fontId="10" fillId="0" borderId="4" xfId="1" applyFill="1" applyBorder="1" applyAlignment="1" applyProtection="1"/>
    <xf numFmtId="0" fontId="3" fillId="8" borderId="4" xfId="3" applyFont="1" applyFill="1" applyBorder="1"/>
    <xf numFmtId="0" fontId="10" fillId="0" borderId="4" xfId="1" applyBorder="1"/>
    <xf numFmtId="0" fontId="6" fillId="3" borderId="4" xfId="3" applyFont="1" applyFill="1" applyBorder="1" applyAlignment="1">
      <alignment horizontal="center" vertical="center" wrapText="1"/>
    </xf>
    <xf numFmtId="0" fontId="5" fillId="0" borderId="4" xfId="2" applyFont="1" applyBorder="1" applyAlignment="1" applyProtection="1">
      <alignment wrapText="1"/>
    </xf>
    <xf numFmtId="0" fontId="3" fillId="12" borderId="4" xfId="3" applyFont="1" applyFill="1" applyBorder="1"/>
    <xf numFmtId="0" fontId="3" fillId="20" borderId="4" xfId="3" applyFont="1" applyFill="1" applyBorder="1" applyAlignment="1">
      <alignment wrapText="1"/>
    </xf>
    <xf numFmtId="0" fontId="3" fillId="15" borderId="4" xfId="3" applyFont="1" applyFill="1" applyBorder="1"/>
    <xf numFmtId="0" fontId="9" fillId="0" borderId="4" xfId="3" applyFont="1" applyBorder="1" applyAlignment="1">
      <alignment wrapText="1"/>
    </xf>
    <xf numFmtId="0" fontId="3" fillId="16" borderId="4" xfId="3" applyFont="1" applyFill="1" applyBorder="1"/>
    <xf numFmtId="0" fontId="3" fillId="17" borderId="4" xfId="3" applyFont="1" applyFill="1" applyBorder="1"/>
    <xf numFmtId="0" fontId="1" fillId="0" borderId="4" xfId="2" applyBorder="1" applyAlignment="1">
      <alignment wrapText="1"/>
    </xf>
    <xf numFmtId="0" fontId="3" fillId="0" borderId="4" xfId="3" applyFont="1" applyBorder="1" applyAlignment="1">
      <alignment horizontal="center" wrapText="1"/>
    </xf>
    <xf numFmtId="0" fontId="11" fillId="0" borderId="4" xfId="0" applyFont="1" applyBorder="1"/>
    <xf numFmtId="11" fontId="3" fillId="0" borderId="4" xfId="3" applyNumberFormat="1" applyFont="1" applyBorder="1"/>
    <xf numFmtId="0" fontId="3" fillId="21" borderId="5" xfId="3" applyFont="1" applyFill="1" applyBorder="1" applyAlignment="1">
      <alignment wrapText="1"/>
    </xf>
    <xf numFmtId="0" fontId="3" fillId="0" borderId="6" xfId="3" applyFont="1" applyBorder="1"/>
    <xf numFmtId="0" fontId="3" fillId="0" borderId="7" xfId="3" applyFont="1" applyBorder="1"/>
    <xf numFmtId="0" fontId="3" fillId="0" borderId="8" xfId="3" applyFont="1" applyBorder="1"/>
    <xf numFmtId="0" fontId="3" fillId="0" borderId="9" xfId="3" applyFont="1" applyBorder="1"/>
    <xf numFmtId="0" fontId="3" fillId="0" borderId="6" xfId="3" applyFont="1" applyBorder="1" applyAlignment="1">
      <alignment wrapText="1"/>
    </xf>
    <xf numFmtId="0" fontId="3" fillId="22" borderId="4" xfId="3" applyFont="1" applyFill="1" applyBorder="1"/>
    <xf numFmtId="0" fontId="7" fillId="23" borderId="4" xfId="3" applyFont="1" applyFill="1" applyBorder="1" applyAlignment="1">
      <alignment wrapText="1"/>
    </xf>
    <xf numFmtId="0" fontId="12" fillId="23" borderId="4" xfId="1" applyFont="1" applyFill="1" applyBorder="1"/>
    <xf numFmtId="0" fontId="7" fillId="23" borderId="4" xfId="3" applyFont="1" applyFill="1" applyBorder="1"/>
    <xf numFmtId="0" fontId="7" fillId="23" borderId="4" xfId="2" applyFont="1" applyFill="1" applyBorder="1" applyAlignment="1" applyProtection="1"/>
    <xf numFmtId="0" fontId="7" fillId="23" borderId="4" xfId="3" applyFont="1" applyFill="1" applyBorder="1" applyAlignment="1">
      <alignment horizontal="center" vertical="center"/>
    </xf>
    <xf numFmtId="0" fontId="6" fillId="21" borderId="4" xfId="3" applyFont="1" applyFill="1" applyBorder="1" applyAlignment="1">
      <alignment wrapText="1"/>
    </xf>
    <xf numFmtId="0" fontId="6" fillId="21" borderId="4" xfId="3" applyFont="1" applyFill="1" applyBorder="1" applyAlignment="1">
      <alignment horizontal="center" vertical="center"/>
    </xf>
    <xf numFmtId="0" fontId="13" fillId="21" borderId="4" xfId="1" applyFont="1" applyFill="1" applyBorder="1"/>
    <xf numFmtId="0" fontId="6" fillId="21" borderId="4" xfId="3" applyFont="1" applyFill="1" applyBorder="1"/>
    <xf numFmtId="0" fontId="6" fillId="21" borderId="4" xfId="2" applyFont="1" applyFill="1" applyBorder="1" applyAlignment="1" applyProtection="1"/>
    <xf numFmtId="0" fontId="6" fillId="24" borderId="4" xfId="3" applyFont="1" applyFill="1" applyBorder="1"/>
    <xf numFmtId="0" fontId="6" fillId="24" borderId="4" xfId="3" applyFont="1" applyFill="1" applyBorder="1" applyAlignment="1">
      <alignment wrapText="1"/>
    </xf>
    <xf numFmtId="0" fontId="13" fillId="24" borderId="0" xfId="1" applyFont="1" applyFill="1"/>
    <xf numFmtId="0" fontId="6" fillId="24" borderId="6" xfId="3" applyFont="1" applyFill="1" applyBorder="1"/>
    <xf numFmtId="0" fontId="6" fillId="4" borderId="17" xfId="3" applyFont="1" applyFill="1" applyBorder="1" applyAlignment="1">
      <alignment horizontal="center" vertical="center"/>
    </xf>
    <xf numFmtId="0" fontId="6" fillId="5" borderId="18" xfId="3" applyFont="1" applyFill="1" applyBorder="1" applyAlignment="1">
      <alignment horizontal="center" vertical="center"/>
    </xf>
    <xf numFmtId="0" fontId="3" fillId="6" borderId="19" xfId="3" applyFont="1" applyFill="1" applyBorder="1" applyAlignment="1">
      <alignment horizontal="center" vertical="center"/>
    </xf>
    <xf numFmtId="0" fontId="3" fillId="7" borderId="18" xfId="3" applyFont="1" applyFill="1" applyBorder="1" applyAlignment="1">
      <alignment horizontal="center" vertical="center"/>
    </xf>
    <xf numFmtId="0" fontId="7" fillId="0" borderId="4" xfId="3" applyFont="1" applyBorder="1" applyAlignment="1">
      <alignment wrapText="1"/>
    </xf>
    <xf numFmtId="0" fontId="6" fillId="24" borderId="17" xfId="3" applyFont="1" applyFill="1" applyBorder="1" applyAlignment="1">
      <alignment horizontal="center" vertical="center"/>
    </xf>
    <xf numFmtId="0" fontId="6" fillId="25" borderId="20" xfId="3" applyFont="1" applyFill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/>
    </xf>
    <xf numFmtId="0" fontId="6" fillId="25" borderId="4" xfId="3" applyFont="1" applyFill="1" applyBorder="1" applyAlignment="1">
      <alignment wrapText="1"/>
    </xf>
    <xf numFmtId="0" fontId="6" fillId="25" borderId="5" xfId="3" applyFont="1" applyFill="1" applyBorder="1" applyAlignment="1">
      <alignment wrapText="1"/>
    </xf>
    <xf numFmtId="0" fontId="3" fillId="26" borderId="5" xfId="3" applyFont="1" applyFill="1" applyBorder="1" applyAlignment="1">
      <alignment wrapText="1"/>
    </xf>
    <xf numFmtId="0" fontId="10" fillId="0" borderId="0" xfId="1"/>
    <xf numFmtId="0" fontId="0" fillId="0" borderId="4" xfId="0" applyBorder="1"/>
    <xf numFmtId="0" fontId="7" fillId="0" borderId="4" xfId="0" applyFont="1" applyBorder="1"/>
    <xf numFmtId="0" fontId="7" fillId="0" borderId="4" xfId="2" applyFont="1" applyBorder="1" applyAlignment="1" applyProtection="1"/>
    <xf numFmtId="0" fontId="7" fillId="0" borderId="4" xfId="2" applyFont="1" applyBorder="1" applyAlignment="1" applyProtection="1">
      <alignment wrapText="1"/>
    </xf>
    <xf numFmtId="0" fontId="10" fillId="27" borderId="0" xfId="1" applyFill="1"/>
    <xf numFmtId="0" fontId="6" fillId="28" borderId="4" xfId="3" applyFont="1" applyFill="1" applyBorder="1" applyAlignment="1">
      <alignment wrapText="1"/>
    </xf>
    <xf numFmtId="0" fontId="3" fillId="30" borderId="5" xfId="3" applyFont="1" applyFill="1" applyBorder="1" applyAlignment="1">
      <alignment wrapText="1"/>
    </xf>
    <xf numFmtId="0" fontId="3" fillId="30" borderId="4" xfId="3" applyFont="1" applyFill="1" applyBorder="1" applyAlignment="1">
      <alignment wrapText="1"/>
    </xf>
    <xf numFmtId="0" fontId="3" fillId="30" borderId="4" xfId="3" applyFont="1" applyFill="1" applyBorder="1"/>
    <xf numFmtId="11" fontId="3" fillId="30" borderId="4" xfId="3" applyNumberFormat="1" applyFont="1" applyFill="1" applyBorder="1"/>
    <xf numFmtId="0" fontId="7" fillId="0" borderId="5" xfId="3" applyFont="1" applyBorder="1"/>
    <xf numFmtId="0" fontId="14" fillId="0" borderId="0" xfId="0" applyFont="1"/>
    <xf numFmtId="0" fontId="15" fillId="28" borderId="0" xfId="0" applyFont="1" applyFill="1"/>
    <xf numFmtId="0" fontId="3" fillId="24" borderId="5" xfId="3" applyFont="1" applyFill="1" applyBorder="1" applyAlignment="1">
      <alignment wrapText="1"/>
    </xf>
    <xf numFmtId="0" fontId="3" fillId="24" borderId="4" xfId="3" applyFont="1" applyFill="1" applyBorder="1" applyAlignment="1">
      <alignment wrapText="1"/>
    </xf>
    <xf numFmtId="0" fontId="3" fillId="24" borderId="4" xfId="3" applyFont="1" applyFill="1" applyBorder="1"/>
    <xf numFmtId="0" fontId="3" fillId="24" borderId="4" xfId="3" applyFont="1" applyFill="1" applyBorder="1" applyAlignment="1">
      <alignment horizontal="center" wrapText="1"/>
    </xf>
    <xf numFmtId="0" fontId="3" fillId="24" borderId="6" xfId="3" applyFont="1" applyFill="1" applyBorder="1" applyAlignment="1">
      <alignment wrapText="1"/>
    </xf>
    <xf numFmtId="0" fontId="3" fillId="0" borderId="5" xfId="3" applyFont="1" applyBorder="1" applyAlignment="1">
      <alignment wrapText="1"/>
    </xf>
    <xf numFmtId="0" fontId="3" fillId="0" borderId="4" xfId="3" applyFont="1" applyBorder="1" applyAlignment="1">
      <alignment horizontal="center"/>
    </xf>
    <xf numFmtId="0" fontId="16" fillId="0" borderId="0" xfId="0" applyFont="1"/>
    <xf numFmtId="0" fontId="3" fillId="25" borderId="5" xfId="3" applyFont="1" applyFill="1" applyBorder="1" applyAlignment="1">
      <alignment wrapText="1"/>
    </xf>
    <xf numFmtId="0" fontId="10" fillId="0" borderId="4" xfId="1" applyBorder="1" applyAlignment="1">
      <alignment wrapText="1"/>
    </xf>
    <xf numFmtId="0" fontId="10" fillId="23" borderId="4" xfId="1" applyFill="1" applyBorder="1"/>
    <xf numFmtId="0" fontId="9" fillId="0" borderId="5" xfId="3" applyFont="1" applyBorder="1" applyAlignment="1">
      <alignment wrapText="1"/>
    </xf>
    <xf numFmtId="0" fontId="3" fillId="18" borderId="8" xfId="3" applyFont="1" applyFill="1" applyBorder="1"/>
    <xf numFmtId="0" fontId="3" fillId="0" borderId="23" xfId="3" applyFont="1" applyBorder="1" applyAlignment="1">
      <alignment horizontal="center"/>
    </xf>
    <xf numFmtId="0" fontId="17" fillId="28" borderId="0" xfId="0" applyFont="1" applyFill="1"/>
    <xf numFmtId="0" fontId="6" fillId="28" borderId="4" xfId="3" applyFont="1" applyFill="1" applyBorder="1" applyAlignment="1">
      <alignment horizontal="center" vertical="center"/>
    </xf>
    <xf numFmtId="0" fontId="17" fillId="28" borderId="4" xfId="0" applyFont="1" applyFill="1" applyBorder="1"/>
    <xf numFmtId="0" fontId="17" fillId="28" borderId="7" xfId="0" applyFont="1" applyFill="1" applyBorder="1"/>
    <xf numFmtId="0" fontId="17" fillId="28" borderId="8" xfId="0" applyFont="1" applyFill="1" applyBorder="1"/>
    <xf numFmtId="0" fontId="18" fillId="28" borderId="0" xfId="0" applyFont="1" applyFill="1"/>
    <xf numFmtId="0" fontId="6" fillId="28" borderId="4" xfId="3" applyFont="1" applyFill="1" applyBorder="1"/>
    <xf numFmtId="0" fontId="10" fillId="31" borderId="0" xfId="1" applyFill="1"/>
    <xf numFmtId="0" fontId="18" fillId="21" borderId="0" xfId="0" applyFont="1" applyFill="1"/>
    <xf numFmtId="0" fontId="0" fillId="32" borderId="0" xfId="0" applyFill="1"/>
    <xf numFmtId="0" fontId="16" fillId="0" borderId="0" xfId="0" applyFont="1" applyAlignment="1">
      <alignment wrapText="1"/>
    </xf>
    <xf numFmtId="0" fontId="16" fillId="27" borderId="0" xfId="0" applyFont="1" applyFill="1"/>
    <xf numFmtId="0" fontId="16" fillId="0" borderId="25" xfId="0" applyFont="1" applyBorder="1"/>
    <xf numFmtId="0" fontId="16" fillId="33" borderId="24" xfId="0" applyFont="1" applyFill="1" applyBorder="1"/>
    <xf numFmtId="0" fontId="16" fillId="33" borderId="25" xfId="0" applyFont="1" applyFill="1" applyBorder="1"/>
    <xf numFmtId="0" fontId="6" fillId="3" borderId="23" xfId="3" applyFont="1" applyFill="1" applyBorder="1" applyAlignment="1">
      <alignment horizontal="center" vertical="center"/>
    </xf>
    <xf numFmtId="0" fontId="10" fillId="0" borderId="0" xfId="1" applyAlignment="1">
      <alignment wrapText="1"/>
    </xf>
    <xf numFmtId="0" fontId="10" fillId="0" borderId="0" xfId="1" applyAlignment="1"/>
    <xf numFmtId="0" fontId="6" fillId="3" borderId="0" xfId="3" applyFont="1" applyFill="1" applyAlignment="1">
      <alignment horizontal="center" vertical="center"/>
    </xf>
    <xf numFmtId="0" fontId="10" fillId="32" borderId="0" xfId="1" applyFill="1"/>
    <xf numFmtId="0" fontId="16" fillId="32" borderId="0" xfId="0" applyFont="1" applyFill="1"/>
    <xf numFmtId="0" fontId="17" fillId="32" borderId="0" xfId="0" applyFont="1" applyFill="1"/>
    <xf numFmtId="0" fontId="13" fillId="32" borderId="0" xfId="1" applyFont="1" applyFill="1"/>
    <xf numFmtId="0" fontId="10" fillId="32" borderId="0" xfId="1" applyFill="1" applyAlignment="1">
      <alignment wrapText="1"/>
    </xf>
    <xf numFmtId="11" fontId="0" fillId="32" borderId="0" xfId="0" applyNumberFormat="1" applyFill="1"/>
    <xf numFmtId="0" fontId="16" fillId="32" borderId="0" xfId="0" applyFont="1" applyFill="1" applyAlignment="1">
      <alignment wrapText="1"/>
    </xf>
    <xf numFmtId="0" fontId="10" fillId="0" borderId="0" xfId="1" applyFill="1"/>
    <xf numFmtId="0" fontId="22" fillId="28" borderId="0" xfId="0" applyFont="1" applyFill="1"/>
    <xf numFmtId="0" fontId="10" fillId="28" borderId="0" xfId="1" applyFill="1"/>
    <xf numFmtId="0" fontId="13" fillId="28" borderId="0" xfId="1" applyFont="1" applyFill="1"/>
    <xf numFmtId="0" fontId="23" fillId="28" borderId="0" xfId="0" applyFont="1" applyFill="1"/>
    <xf numFmtId="0" fontId="12" fillId="0" borderId="0" xfId="1" applyFont="1" applyFill="1" applyAlignment="1">
      <alignment wrapText="1"/>
    </xf>
    <xf numFmtId="0" fontId="24" fillId="28" borderId="0" xfId="1" applyFont="1" applyFill="1"/>
    <xf numFmtId="0" fontId="24" fillId="28" borderId="0" xfId="1" applyFont="1" applyFill="1" applyAlignment="1">
      <alignment wrapText="1"/>
    </xf>
    <xf numFmtId="0" fontId="25" fillId="35" borderId="0" xfId="0" applyFont="1" applyFill="1"/>
    <xf numFmtId="0" fontId="26" fillId="36" borderId="0" xfId="0" applyFont="1" applyFill="1"/>
    <xf numFmtId="0" fontId="26" fillId="36" borderId="26" xfId="0" applyFont="1" applyFill="1" applyBorder="1"/>
    <xf numFmtId="0" fontId="27" fillId="23" borderId="0" xfId="0" applyFont="1" applyFill="1"/>
    <xf numFmtId="0" fontId="28" fillId="34" borderId="0" xfId="0" applyFont="1" applyFill="1"/>
    <xf numFmtId="0" fontId="21" fillId="32" borderId="0" xfId="0" applyFont="1" applyFill="1"/>
    <xf numFmtId="0" fontId="29" fillId="32" borderId="0" xfId="0" applyFont="1" applyFill="1"/>
    <xf numFmtId="11" fontId="21" fillId="32" borderId="0" xfId="0" applyNumberFormat="1" applyFont="1" applyFill="1"/>
    <xf numFmtId="14" fontId="0" fillId="0" borderId="0" xfId="0" applyNumberFormat="1"/>
    <xf numFmtId="14" fontId="30" fillId="0" borderId="0" xfId="0" applyNumberFormat="1" applyFont="1"/>
    <xf numFmtId="0" fontId="31" fillId="32" borderId="0" xfId="1" applyFont="1" applyFill="1"/>
    <xf numFmtId="0" fontId="21" fillId="25" borderId="0" xfId="0" applyFont="1" applyFill="1"/>
    <xf numFmtId="0" fontId="12" fillId="25" borderId="0" xfId="1" applyFont="1" applyFill="1"/>
    <xf numFmtId="0" fontId="12" fillId="32" borderId="0" xfId="1" applyFont="1" applyFill="1"/>
    <xf numFmtId="0" fontId="3" fillId="32" borderId="0" xfId="3" applyFont="1" applyFill="1" applyAlignment="1">
      <alignment wrapText="1"/>
    </xf>
    <xf numFmtId="0" fontId="17" fillId="0" borderId="0" xfId="0" applyFont="1"/>
    <xf numFmtId="0" fontId="7" fillId="31" borderId="4" xfId="3" applyFont="1" applyFill="1" applyBorder="1" applyAlignment="1">
      <alignment wrapText="1"/>
    </xf>
    <xf numFmtId="0" fontId="17" fillId="37" borderId="0" xfId="0" applyFont="1" applyFill="1"/>
    <xf numFmtId="0" fontId="13" fillId="37" borderId="0" xfId="1" applyFont="1" applyFill="1"/>
    <xf numFmtId="0" fontId="32" fillId="0" borderId="0" xfId="0" applyFont="1"/>
    <xf numFmtId="0" fontId="33" fillId="28" borderId="0" xfId="0" applyFont="1" applyFill="1"/>
    <xf numFmtId="0" fontId="13" fillId="28" borderId="0" xfId="1" applyFont="1" applyFill="1" applyAlignment="1"/>
    <xf numFmtId="0" fontId="32" fillId="32" borderId="0" xfId="0" applyFont="1" applyFill="1"/>
    <xf numFmtId="0" fontId="33" fillId="25" borderId="0" xfId="0" applyFont="1" applyFill="1"/>
    <xf numFmtId="11" fontId="33" fillId="28" borderId="0" xfId="0" applyNumberFormat="1" applyFont="1" applyFill="1"/>
    <xf numFmtId="0" fontId="33" fillId="32" borderId="0" xfId="0" applyFont="1" applyFill="1"/>
    <xf numFmtId="0" fontId="10" fillId="28" borderId="0" xfId="1" applyFill="1" applyBorder="1" applyAlignment="1"/>
    <xf numFmtId="0" fontId="34" fillId="32" borderId="0" xfId="0" applyFont="1" applyFill="1"/>
    <xf numFmtId="0" fontId="22" fillId="32" borderId="0" xfId="0" applyFont="1" applyFill="1"/>
    <xf numFmtId="0" fontId="24" fillId="32" borderId="0" xfId="1" applyFont="1" applyFill="1"/>
    <xf numFmtId="11" fontId="32" fillId="32" borderId="0" xfId="0" applyNumberFormat="1" applyFont="1" applyFill="1"/>
    <xf numFmtId="0" fontId="33" fillId="38" borderId="0" xfId="0" applyFont="1" applyFill="1"/>
    <xf numFmtId="0" fontId="35" fillId="28" borderId="0" xfId="0" applyFont="1" applyFill="1" applyAlignment="1">
      <alignment wrapText="1"/>
    </xf>
    <xf numFmtId="0" fontId="22" fillId="0" borderId="0" xfId="0" applyFont="1"/>
    <xf numFmtId="9" fontId="0" fillId="0" borderId="0" xfId="0" applyNumberFormat="1"/>
    <xf numFmtId="0" fontId="36" fillId="0" borderId="0" xfId="0" applyFont="1"/>
    <xf numFmtId="0" fontId="17" fillId="39" borderId="0" xfId="0" applyFont="1" applyFill="1"/>
    <xf numFmtId="14" fontId="17" fillId="39" borderId="0" xfId="0" applyNumberFormat="1" applyFont="1" applyFill="1"/>
    <xf numFmtId="0" fontId="0" fillId="40" borderId="0" xfId="0" applyFill="1"/>
    <xf numFmtId="9" fontId="0" fillId="40" borderId="0" xfId="0" applyNumberFormat="1" applyFill="1"/>
    <xf numFmtId="0" fontId="13" fillId="28" borderId="0" xfId="1" applyFont="1" applyFill="1" applyAlignment="1">
      <alignment wrapText="1"/>
    </xf>
    <xf numFmtId="0" fontId="29" fillId="41" borderId="0" xfId="0" applyFont="1" applyFill="1"/>
    <xf numFmtId="0" fontId="31" fillId="41" borderId="0" xfId="1" applyFont="1" applyFill="1"/>
    <xf numFmtId="0" fontId="37" fillId="41" borderId="0" xfId="0" applyFont="1" applyFill="1"/>
    <xf numFmtId="0" fontId="38" fillId="41" borderId="0" xfId="1" applyFont="1" applyFill="1"/>
    <xf numFmtId="0" fontId="3" fillId="36" borderId="5" xfId="3" applyFont="1" applyFill="1" applyBorder="1" applyAlignment="1">
      <alignment wrapText="1"/>
    </xf>
    <xf numFmtId="0" fontId="13" fillId="25" borderId="0" xfId="1" applyFont="1" applyFill="1"/>
    <xf numFmtId="0" fontId="13" fillId="25" borderId="0" xfId="1" applyFont="1" applyFill="1" applyAlignment="1"/>
    <xf numFmtId="0" fontId="39" fillId="36" borderId="0" xfId="0" applyFont="1" applyFill="1"/>
    <xf numFmtId="0" fontId="39" fillId="32" borderId="0" xfId="0" applyFont="1" applyFill="1"/>
    <xf numFmtId="0" fontId="3" fillId="29" borderId="8" xfId="3" applyFont="1" applyFill="1" applyBorder="1" applyAlignment="1">
      <alignment horizontal="center"/>
    </xf>
    <xf numFmtId="0" fontId="3" fillId="29" borderId="23" xfId="3" applyFont="1" applyFill="1" applyBorder="1" applyAlignment="1">
      <alignment horizontal="center"/>
    </xf>
    <xf numFmtId="0" fontId="3" fillId="19" borderId="0" xfId="3" applyFont="1" applyFill="1" applyAlignment="1">
      <alignment horizontal="center"/>
    </xf>
    <xf numFmtId="0" fontId="3" fillId="9" borderId="4" xfId="3" applyFont="1" applyFill="1" applyBorder="1" applyAlignment="1">
      <alignment horizontal="center" wrapText="1"/>
    </xf>
    <xf numFmtId="0" fontId="3" fillId="10" borderId="4" xfId="3" applyFont="1" applyFill="1" applyBorder="1" applyAlignment="1">
      <alignment horizontal="center"/>
    </xf>
    <xf numFmtId="0" fontId="3" fillId="11" borderId="4" xfId="3" applyFont="1" applyFill="1" applyBorder="1" applyAlignment="1">
      <alignment horizontal="center"/>
    </xf>
    <xf numFmtId="0" fontId="3" fillId="13" borderId="4" xfId="3" applyFont="1" applyFill="1" applyBorder="1" applyAlignment="1">
      <alignment horizontal="center"/>
    </xf>
    <xf numFmtId="0" fontId="3" fillId="14" borderId="4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0" borderId="10" xfId="3" applyFont="1" applyBorder="1" applyAlignment="1">
      <alignment vertical="center" wrapText="1"/>
    </xf>
    <xf numFmtId="0" fontId="3" fillId="0" borderId="22" xfId="3" applyFont="1" applyBorder="1" applyAlignment="1">
      <alignment vertical="center" wrapText="1"/>
    </xf>
    <xf numFmtId="0" fontId="3" fillId="0" borderId="20" xfId="3" applyFont="1" applyBorder="1" applyAlignment="1">
      <alignment horizontal="center"/>
    </xf>
    <xf numFmtId="0" fontId="3" fillId="0" borderId="21" xfId="3" applyFont="1" applyBorder="1" applyAlignment="1">
      <alignment horizontal="center"/>
    </xf>
    <xf numFmtId="0" fontId="3" fillId="0" borderId="11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13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14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15" xfId="3" applyFont="1" applyBorder="1" applyAlignment="1">
      <alignment horizontal="center" vertical="center"/>
    </xf>
  </cellXfs>
  <cellStyles count="4">
    <cellStyle name="Hipervínculo" xfId="2" xr:uid="{00000000-0005-0000-0000-000006000000}"/>
    <cellStyle name="Hyperlink" xfId="1" xr:uid="{00000000-000B-0000-0000-000008000000}"/>
    <cellStyle name="Normal" xfId="0" builtinId="0"/>
    <cellStyle name="Normal 2" xfId="3" xr:uid="{00000000-0005-0000-0000-000007000000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iberation Sans"/>
        <charset val="1"/>
        <scheme val="none"/>
      </font>
      <fill>
        <patternFill patternType="solid">
          <fgColor indexed="64"/>
          <bgColor theme="6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iberation Sans"/>
        <charset val="1"/>
        <scheme val="none"/>
      </font>
      <fill>
        <patternFill patternType="solid">
          <fgColor indexed="64"/>
          <bgColor theme="6" tint="-0.499984740745262"/>
        </patternFill>
      </fill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indexed="64"/>
          <bgColor rgb="FFFF0000"/>
        </patternFill>
      </fill>
    </dxf>
    <dxf>
      <font>
        <color theme="0"/>
      </font>
    </dxf>
    <dxf>
      <numFmt numFmtId="19" formatCode="m/d/yyyy"/>
    </dxf>
    <dxf>
      <font>
        <color theme="0"/>
      </font>
      <numFmt numFmtId="19" formatCode="m/d/yyyy"/>
      <fill>
        <patternFill patternType="solid">
          <fgColor indexed="64"/>
          <bgColor theme="1" tint="0.34998626667073579"/>
        </patternFill>
      </fill>
    </dxf>
    <dxf>
      <numFmt numFmtId="13" formatCode="0%"/>
    </dxf>
    <dxf>
      <font>
        <color theme="0"/>
      </font>
      <fill>
        <patternFill patternType="solid">
          <fgColor indexed="64"/>
          <bgColor theme="1" tint="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charset val="1"/>
        <scheme val="none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747474"/>
      <rgbColor rgb="FF9999FF"/>
      <rgbColor rgb="FF78206E"/>
      <rgbColor rgb="FFFBE3D6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B4E5A2"/>
      <rgbColor rgb="FFE8F2A1"/>
      <rgbColor rgb="FF99CCFF"/>
      <rgbColor rgb="FFE59EDD"/>
      <rgbColor rgb="FFCC99FF"/>
      <rgbColor rgb="FFF2AA84"/>
      <rgbColor rgb="FF3366FF"/>
      <rgbColor rgb="FF33CCCC"/>
      <rgbColor rgb="FF99CC00"/>
      <rgbColor rgb="FFFFC000"/>
      <rgbColor rgb="FFFF9900"/>
      <rgbColor rgb="FFE97132"/>
      <rgbColor rgb="FF467886"/>
      <rgbColor rgb="FF969696"/>
      <rgbColor rgb="FF0B3041"/>
      <rgbColor rgb="FF4EA72E"/>
      <rgbColor rgb="FF13501B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032D0"/>
      <color rgb="FF8C5757"/>
      <color rgb="FFF7C7AC"/>
      <color rgb="FFBE5014"/>
      <color rgb="FFC00000"/>
      <color rgb="FF00B0F0"/>
      <color rgb="FF002060"/>
      <color rgb="FF83E28E"/>
      <color rgb="FFDAF2D0"/>
      <color rgb="FF153D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Avance de eliminación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Avance!$E$4</c:f>
              <c:strCache>
                <c:ptCount val="1"/>
                <c:pt idx="0">
                  <c:v>Porcentaje Eliminado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Avance!$A$5:$A$7</c:f>
              <c:strCache>
                <c:ptCount val="3"/>
                <c:pt idx="0">
                  <c:v>Dashboards</c:v>
                </c:pt>
                <c:pt idx="1">
                  <c:v>Análisis</c:v>
                </c:pt>
                <c:pt idx="2">
                  <c:v>Datasets</c:v>
                </c:pt>
              </c:strCache>
            </c:strRef>
          </c:cat>
          <c:val>
            <c:numRef>
              <c:f>Avance!$E$5:$E$7</c:f>
              <c:numCache>
                <c:formatCode>0%</c:formatCode>
                <c:ptCount val="3"/>
                <c:pt idx="0">
                  <c:v>0.51485148514851486</c:v>
                </c:pt>
                <c:pt idx="1">
                  <c:v>0.85932721712538229</c:v>
                </c:pt>
                <c:pt idx="2">
                  <c:v>0.40677966101694918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B-4C96-B522-090185334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703112"/>
        <c:axId val="1990709256"/>
      </c:barChart>
      <c:catAx>
        <c:axId val="199070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709256"/>
        <c:crosses val="autoZero"/>
        <c:auto val="1"/>
        <c:lblAlgn val="ctr"/>
        <c:lblOffset val="100"/>
        <c:noMultiLvlLbl val="0"/>
      </c:catAx>
      <c:valAx>
        <c:axId val="199070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70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Acumulado eliminado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{"Dashboards"}</c:f>
              <c:strCache>
                <c:ptCount val="1"/>
                <c:pt idx="0">
                  <c:v>Dashboards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Avance!$A$13:$A$16</c:f>
              <c:numCache>
                <c:formatCode>m/d/yyyy</c:formatCode>
                <c:ptCount val="4"/>
                <c:pt idx="0">
                  <c:v>46301</c:v>
                </c:pt>
                <c:pt idx="1">
                  <c:v>46302</c:v>
                </c:pt>
                <c:pt idx="2">
                  <c:v>46303</c:v>
                </c:pt>
                <c:pt idx="3">
                  <c:v>46304</c:v>
                </c:pt>
              </c:numCache>
            </c:numRef>
          </c:cat>
          <c:val>
            <c:numRef>
              <c:f>Avance!F13:F16</c:f>
              <c:numCache>
                <c:formatCode>General</c:formatCode>
                <c:ptCount val="4"/>
                <c:pt idx="0">
                  <c:v>0</c:v>
                </c:pt>
                <c:pt idx="1">
                  <c:v>48</c:v>
                </c:pt>
                <c:pt idx="2">
                  <c:v>51</c:v>
                </c:pt>
                <c:pt idx="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3-4B81-9362-41FF813CE7C3}"/>
            </c:ext>
          </c:extLst>
        </c:ser>
        <c:ser>
          <c:idx val="2"/>
          <c:order val="1"/>
          <c:tx>
            <c:strRef>
              <c:f>{"Analisis"}</c:f>
              <c:strCache>
                <c:ptCount val="1"/>
                <c:pt idx="0">
                  <c:v>Analisis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Avance!$A$13:$A$16</c:f>
              <c:numCache>
                <c:formatCode>m/d/yyyy</c:formatCode>
                <c:ptCount val="4"/>
                <c:pt idx="0">
                  <c:v>46301</c:v>
                </c:pt>
                <c:pt idx="1">
                  <c:v>46302</c:v>
                </c:pt>
                <c:pt idx="2">
                  <c:v>46303</c:v>
                </c:pt>
                <c:pt idx="3">
                  <c:v>46304</c:v>
                </c:pt>
              </c:numCache>
            </c:numRef>
          </c:cat>
          <c:val>
            <c:numRef>
              <c:f>Avance!G13:G16</c:f>
              <c:numCache>
                <c:formatCode>General</c:formatCode>
                <c:ptCount val="4"/>
                <c:pt idx="0">
                  <c:v>0</c:v>
                </c:pt>
                <c:pt idx="1">
                  <c:v>56</c:v>
                </c:pt>
                <c:pt idx="2">
                  <c:v>281</c:v>
                </c:pt>
                <c:pt idx="3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E3-4B81-9362-41FF813CE7C3}"/>
            </c:ext>
          </c:extLst>
        </c:ser>
        <c:ser>
          <c:idx val="1"/>
          <c:order val="2"/>
          <c:tx>
            <c:strRef>
              <c:f>{"Datasets"}</c:f>
              <c:strCache>
                <c:ptCount val="1"/>
                <c:pt idx="0">
                  <c:v>Datasets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Avance!$A$13:$A$16</c:f>
              <c:numCache>
                <c:formatCode>m/d/yyyy</c:formatCode>
                <c:ptCount val="4"/>
                <c:pt idx="0">
                  <c:v>46301</c:v>
                </c:pt>
                <c:pt idx="1">
                  <c:v>46302</c:v>
                </c:pt>
                <c:pt idx="2">
                  <c:v>46303</c:v>
                </c:pt>
                <c:pt idx="3">
                  <c:v>46304</c:v>
                </c:pt>
              </c:numCache>
            </c:numRef>
          </c:cat>
          <c:val>
            <c:numRef>
              <c:f>Avance!H13:H16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68</c:v>
                </c:pt>
                <c:pt idx="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E3-4B81-9362-41FF813CE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664712"/>
        <c:axId val="1990719496"/>
      </c:lineChart>
      <c:dateAx>
        <c:axId val="19906647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719496"/>
        <c:crosses val="autoZero"/>
        <c:auto val="1"/>
        <c:lblOffset val="100"/>
        <c:baseTimeUnit val="days"/>
      </c:dateAx>
      <c:valAx>
        <c:axId val="199071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6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1285875</xdr:colOff>
      <xdr:row>17</xdr:row>
      <xdr:rowOff>85725</xdr:rowOff>
    </xdr:from>
    <xdr:to>
      <xdr:col>8</xdr:col>
      <xdr:colOff>876300</xdr:colOff>
      <xdr:row>32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F81AA7-9BCB-5CA7-BAE6-31B8C74E0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95250</xdr:rowOff>
    </xdr:from>
    <xdr:to>
      <xdr:col>4</xdr:col>
      <xdr:colOff>1295400</xdr:colOff>
      <xdr:row>32</xdr:row>
      <xdr:rowOff>152400</xdr:rowOff>
    </xdr:to>
    <xdr:graphicFrame macro="">
      <xdr:nvGraphicFramePr>
        <xdr:cNvPr id="8" name="Gráfico 7" descr="Tipo de gráfico: Líneas. Valores múltiples por &quot;Campo1&quot;&#10;&#10;Descripción generada automáticamente">
          <a:extLst>
            <a:ext uri="{FF2B5EF4-FFF2-40B4-BE49-F238E27FC236}">
              <a16:creationId xmlns:a16="http://schemas.microsoft.com/office/drawing/2014/main" id="{63881FCB-7CE6-4F8C-AA47-3516F14D0D85}"/>
            </a:ext>
            <a:ext uri="{147F2762-F138-4A5C-976F-8EAC2B608ADB}">
              <a16:predDERef xmlns:a16="http://schemas.microsoft.com/office/drawing/2014/main" pred="{28F81AA7-9BCB-5CA7-BAE6-31B8C74E0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DB PENDIENTE" id="{0944EBF6-C814-4D5F-AFA3-A96A19713EB9}">
    <nsvFilter filterId="{44998FE9-3658-4964-8144-CA399A347C33}" ref="B1:M102" tableId="2">
      <columnFilter colId="9" id="{DF577E57-F1E8-4262-9FBD-2CD3C3156AEE}">
        <filter colId="9">
          <x:filters>
            <x:filter val="REVISAR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 PENDIENTE" id="{31D4901A-AE8C-41B8-A13B-4F42DD217E1B}">
    <nsvFilter filterId="{51676223-3331-49D1-B7FE-C6BA2DAF4000}" ref="B1:G328" tableId="4">
      <columnFilter colId="3" id="{B108245D-4B86-411D-8F71-4DF512439BA0}">
        <filter colId="3">
          <x:filters>
            <x:filter val="PENDIENTE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DS PENDIENTE" id="{3EB8B8BB-CB80-4CA9-9C42-52C08E53811E}">
    <nsvFilter filterId="{A080449B-94CD-472C-BA86-988DB1FD3AE1}" ref="B1:G178" tableId="6">
      <columnFilter colId="3" id="{A3ED1767-F403-4DA0-801E-E8DBF85F824C}">
        <filter colId="3">
          <x:filters>
            <x:filter val="PENDIENTE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_quicksight" displayName="inventario_quicksight" ref="B1:M417" totalsRowShown="0" headerRowDxfId="22">
  <autoFilter ref="B1:M417" xr:uid="{00000000-0009-0000-0100-000001000000}"/>
  <tableColumns count="12">
    <tableColumn id="1" xr3:uid="{00000000-0010-0000-0000-000001000000}" name="Submodulo" dataDxfId="21"/>
    <tableColumn id="15" xr3:uid="{2A05592E-769E-422E-923B-361B66EC8E8B}" name="Modulo2"/>
    <tableColumn id="3" xr3:uid="{00000000-0010-0000-0000-000003000000}" name="ruta_menu" dataDxfId="20"/>
    <tableColumn id="4" xr3:uid="{00000000-0010-0000-0000-000004000000}" name="url_portal" dataDxfId="19"/>
    <tableColumn id="5" xr3:uid="{00000000-0010-0000-0000-000005000000}" name="id_portal" dataDxfId="18"/>
    <tableColumn id="6" xr3:uid="{00000000-0010-0000-0000-000006000000}" name="id_quicksight" dataDxfId="17"/>
    <tableColumn id="7" xr3:uid="{00000000-0010-0000-0000-000007000000}" name="Nombre de Dashboard en Qucik" dataDxfId="16"/>
    <tableColumn id="8" xr3:uid="{00000000-0010-0000-0000-000008000000}" name="Nombre Analisis Quick" dataDxfId="15"/>
    <tableColumn id="9" xr3:uid="{00000000-0010-0000-0000-000009000000}" name="Origen de Datos" dataDxfId="14"/>
    <tableColumn id="10" xr3:uid="{00000000-0010-0000-0000-00000A000000}" name="Source" dataDxfId="13"/>
    <tableColumn id="11" xr3:uid="{00000000-0010-0000-0000-00000B000000}" name="actualizado?" dataDxfId="12"/>
    <tableColumn id="14" xr3:uid="{F37BB3D3-7705-4F49-BF97-284278B44E58}" name="duplicado" dataDxfId="11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7EB49B-474F-42D7-920F-14D30E6A30DF}" name="tblAvance" displayName="tblAvance" ref="A4:F7" totalsRowShown="0">
  <autoFilter ref="A4:F7" xr:uid="{917EB49B-474F-42D7-920F-14D30E6A30DF}"/>
  <tableColumns count="6">
    <tableColumn id="1" xr3:uid="{38610321-9DE5-4252-B860-0E6FE02181F1}" name="Tipo" dataDxfId="10"/>
    <tableColumn id="2" xr3:uid="{884C5644-C6A7-4E1A-A6AA-548DAC90F5A3}" name="Total Inventario"/>
    <tableColumn id="3" xr3:uid="{8687BF1A-2B0E-4A80-A336-9ADD3667077D}" name="Eliminados"/>
    <tableColumn id="4" xr3:uid="{5E207623-DDC1-42F2-AD12-494E80257BDE}" name="Sin Eliminar"/>
    <tableColumn id="5" xr3:uid="{615A4DC4-305D-4FD4-83A3-EE97A421B97D}" name="Porcentaje Eliminado" dataDxfId="9"/>
    <tableColumn id="6" xr3:uid="{6913F3CE-A387-4A13-B840-D1B92D0D498C}" name="Eliminados sin fecha">
      <calculatedColumnFormula>COUNTIFS(tblDashboard[ESTADO], "ELIMINADO", tblDashboard[FECHA], "")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8C40C9-C130-4BCA-947A-1DCDFACAF6F4}" name="tblAvanceDias" displayName="tblAvanceDias" ref="A12:I16" totalsRowShown="0">
  <autoFilter ref="A12:I16" xr:uid="{C08C40C9-C130-4BCA-947A-1DCDFACAF6F4}"/>
  <tableColumns count="9">
    <tableColumn id="1" xr3:uid="{2026FFA0-B7A0-4AA9-B550-E562670373D8}" name="día" dataDxfId="8">
      <calculatedColumnFormula>IF($B$10+ROW()-13&lt;=TODAY(),$B$10+ROW()-13,"")</calculatedColumnFormula>
    </tableColumn>
    <tableColumn id="2" xr3:uid="{1EB6F2A2-2D35-4B84-9B89-E1ABBD53631D}" name="Dashboards día">
      <calculatedColumnFormula>IF($A13="","",COUNTIFS(tblDashboard[ESTADO],"ELIMINADO",tblDashboard[FECHA],"&gt;="&amp;$A13,tblDashboard[FECHA],"&lt;"&amp;($A13+1)))</calculatedColumnFormula>
    </tableColumn>
    <tableColumn id="3" xr3:uid="{9BBBEBA0-95A9-47AD-ACB8-937D9D3287AF}" name="Análisis día">
      <calculatedColumnFormula>IF($A13="","",COUNTIFS(tblAnalisis[ESTADO],"ELIMINADO",tblAnalisis[FECHA],"&gt;="&amp;$A13,tblAnalisis[FECHA],"&lt;"&amp;($A13+1)))</calculatedColumnFormula>
    </tableColumn>
    <tableColumn id="4" xr3:uid="{22D673A0-2FAD-4FF3-8075-40002881D21D}" name="Datasets día">
      <calculatedColumnFormula>IF($A13="","",COUNTIFS(tblDatasets[ESTADO],"ELIMINADO",tblDatasets[FECHA],"&gt;="&amp;$A13,tblDatasets[FECHA],"&lt;"&amp;($A13+1)))</calculatedColumnFormula>
    </tableColumn>
    <tableColumn id="5" xr3:uid="{728295E6-3499-45A8-9DA0-AF7AFE632BEA}" name="Total día">
      <calculatedColumnFormula>IF(A13="","",SUM(B13:D13))</calculatedColumnFormula>
    </tableColumn>
    <tableColumn id="6" xr3:uid="{F5B594C2-93A3-47C5-8F48-43E554E9A634}" name="Dashboards acumulados">
      <calculatedColumnFormula>IF($A13="","",SUM($B$13:B13))</calculatedColumnFormula>
    </tableColumn>
    <tableColumn id="7" xr3:uid="{3B87A2AF-15FA-47EB-B6A4-C22CE8F25EE8}" name="Análisis acumulados">
      <calculatedColumnFormula>IF($A13="","",SUM($C$13:C13))</calculatedColumnFormula>
    </tableColumn>
    <tableColumn id="8" xr3:uid="{9DFC70C6-EC75-40A1-BC63-8A9E10188729}" name="Datasets acumulados2">
      <calculatedColumnFormula>IF($A13="","",SUM($D$13:D13))</calculatedColumnFormula>
    </tableColumn>
    <tableColumn id="9" xr3:uid="{6D436029-8541-47D7-A2B0-FAAEA5870195}" name="Acumulado fechado">
      <calculatedColumnFormula>IF(A13="","",SUM($E$13:E13))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85EF9E-BFCB-411F-B7F1-0560AC2159B2}" name="tblDashboard" displayName="tblDashboard" ref="B1:M102" totalsRowShown="0">
  <autoFilter ref="B1:M102" xr:uid="{44998FE9-3658-4964-8144-CA399A347C33}">
    <filterColumn colId="9">
      <filters>
        <filter val="OK"/>
      </filters>
    </filterColumn>
  </autoFilter>
  <tableColumns count="12">
    <tableColumn id="1" xr3:uid="{4FE4F250-AFBD-49E5-ACB2-F5865DB72C8A}" name="Modulo"/>
    <tableColumn id="2" xr3:uid="{0AADEF41-77BC-4658-91BE-BA8FB5DA879D}" name="Submodulo"/>
    <tableColumn id="3" xr3:uid="{9D16BE1D-B901-4E54-AB0E-0677938C9DAC}" name="ruta_menu"/>
    <tableColumn id="4" xr3:uid="{6594A631-181D-4085-BA2E-E8B44B986847}" name="Nombre Tablero"/>
    <tableColumn id="5" xr3:uid="{E08E68CE-4AB2-4168-935A-6A29FC73D34D}" name="ID Tablero"/>
    <tableColumn id="6" xr3:uid="{751C284E-967D-4761-9DEF-3FFB84713D43}" name="Enlace Tablero"/>
    <tableColumn id="7" xr3:uid="{2B9CFF37-A9EF-4667-A192-0A97BCCECD11}" name="ID Analisis"/>
    <tableColumn id="8" xr3:uid="{17D1760E-7B49-4E73-8254-E939ADD7F156}" name="Enlace Analisis"/>
    <tableColumn id="9" xr3:uid="{2CA75176-6733-4C59-9F8D-35FFB67C2952}" name="DataSet con 1 o huerfanos"/>
    <tableColumn id="10" xr3:uid="{DF577E57-F1E8-4262-9FBD-2CD3C3156AEE}" name="ESTADO"/>
    <tableColumn id="11" xr3:uid="{011F714C-C5AE-48A0-AE49-E00BB10913AF}" name="NOTAS"/>
    <tableColumn id="12" xr3:uid="{6EA4F9A9-0D6F-4F64-B671-B9CDDE775787}" name="FECHA" dataDxfId="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D20F14-57FA-4123-B759-9255D0DE4666}" name="tblAnalisis" displayName="tblAnalisis" ref="B1:G328" totalsRowShown="0" headerRowDxfId="6">
  <autoFilter ref="B1:G328" xr:uid="{51676223-3331-49D1-B7FE-C6BA2DAF4000}">
    <filterColumn colId="3">
      <filters>
        <filter val="OK"/>
      </filters>
    </filterColumn>
  </autoFilter>
  <tableColumns count="6">
    <tableColumn id="1" xr3:uid="{02EBFF97-5082-4739-9689-D5909474CA1D}" name="Name" dataDxfId="5"/>
    <tableColumn id="2" xr3:uid="{51657ADD-5816-42DD-A423-80E138380A9D}" name="ID Analisis" dataDxfId="4"/>
    <tableColumn id="3" xr3:uid="{94555B3C-FE1D-4656-B733-D88CFAA4A393}" name="Enlace Analisis" dataDxfId="3"/>
    <tableColumn id="4" xr3:uid="{B108245D-4B86-411D-8F71-4DF512439BA0}" name="ESTADO"/>
    <tableColumn id="5" xr3:uid="{D60FECA5-212A-44D9-BBC1-0BDB7A2BB316}" name="NOTAS"/>
    <tableColumn id="6" xr3:uid="{B23B68D4-AABD-4A1D-A781-AA8B58140BC5}" name="FECHA" dataDxfId="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0CB209-62A6-483A-B8FE-27715DE709E6}" name="tblDatasets" displayName="tblDatasets" ref="B1:G178" totalsRowShown="0">
  <autoFilter ref="B1:G178" xr:uid="{A080449B-94CD-472C-BA86-988DB1FD3AE1}">
    <filterColumn colId="3">
      <filters>
        <filter val="OK"/>
      </filters>
    </filterColumn>
  </autoFilter>
  <tableColumns count="6">
    <tableColumn id="1" xr3:uid="{1A7206BB-B165-4A17-BD73-4F186328314B}" name="DataSet" dataDxfId="1"/>
    <tableColumn id="2" xr3:uid="{877132C7-3B48-45BC-9C1E-567F3080B4E5}" name="ID" dataDxfId="0"/>
    <tableColumn id="3" xr3:uid="{18EC2F11-E4DB-42E4-A30E-4C5778540D11}" name="Enlace Dataset"/>
    <tableColumn id="4" xr3:uid="{A3ED1767-F403-4DA0-801E-E8DBF85F824C}" name="ESTADO"/>
    <tableColumn id="5" xr3:uid="{F0EA2AF7-B7BA-4FAD-844F-E384996464CC}" name="NOTAS"/>
    <tableColumn id="6" xr3:uid="{042CA1C6-F939-450C-AAED-2A320130BBB2}" name="FECH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-east-1.quicksight.aws.amazon.com/sn/account/mdp-ponal/dashboards/17a11d96-d3af-4ac6-ad0c-987e1942d23f" TargetMode="External"/><Relationship Id="rId21" Type="http://schemas.openxmlformats.org/officeDocument/2006/relationships/hyperlink" Target="https://app.ia.policia.gov.co/dashboards/dashboard?idP=93c8602f-7629-452b-a455-8914c97fff4d" TargetMode="External"/><Relationship Id="rId42" Type="http://schemas.openxmlformats.org/officeDocument/2006/relationships/hyperlink" Target="https://us-east-1.quicksight.aws.amazon.com/sn/account/mdp-ponal/analyses/b2d24bed-3501-4640-b6a8-7b642803dc2b" TargetMode="External"/><Relationship Id="rId63" Type="http://schemas.openxmlformats.org/officeDocument/2006/relationships/hyperlink" Target="https://us-east-1.quicksight.aws.amazon.com/sn/account/mdp-ponal/data-sets/b81ef79a-9385-4051-afc4-5ac2c478cc5e/view" TargetMode="External"/><Relationship Id="rId84" Type="http://schemas.openxmlformats.org/officeDocument/2006/relationships/hyperlink" Target="https://us-east-1.quicksight.aws.amazon.com/sn/account/mdp-ponal/dashboards/fee54fc6-5c81-47fb-86a4-d5bca2a0521e" TargetMode="External"/><Relationship Id="rId138" Type="http://schemas.openxmlformats.org/officeDocument/2006/relationships/hyperlink" Target="https://us-east-1.quicksight.aws.amazon.com/sn/account/mdp-ponal/dashboards/c6116f03-ff9f-41b6-b245-1cd475bd63ac" TargetMode="External"/><Relationship Id="rId159" Type="http://schemas.openxmlformats.org/officeDocument/2006/relationships/hyperlink" Target="https://us-east-1.quicksight.aws.amazon.com/sn/account/mdp-ponal/data-sets/5255dc83-5bde-4ab0-a5c1-9c3f65dd7d65/view" TargetMode="External"/><Relationship Id="rId170" Type="http://schemas.openxmlformats.org/officeDocument/2006/relationships/hyperlink" Target="https://app.ia.policia.gov.co/dashboards/dashboard?idP=ae75fcb3-2eae-4e2b-859e-29897a87afbc" TargetMode="External"/><Relationship Id="rId191" Type="http://schemas.openxmlformats.org/officeDocument/2006/relationships/hyperlink" Target="https://app.ia.policia.gov.co/dashboards/dashboard?idP=2c1901c5-a9d2-4824-a0ee-3a57139ce576" TargetMode="External"/><Relationship Id="rId205" Type="http://schemas.openxmlformats.org/officeDocument/2006/relationships/hyperlink" Target="https://app.ia.policia.gov.co/dashboards/dashboard?idP=02989568-503e-46ed-8d01-2311bc5f6707" TargetMode="External"/><Relationship Id="rId107" Type="http://schemas.openxmlformats.org/officeDocument/2006/relationships/hyperlink" Target="https://us-east-1.quicksight.aws.amazon.com/sn/account/mdp-ponal/dashboards/bf3cedbc-e647-45ca-a967-031ba5387e73" TargetMode="External"/><Relationship Id="rId11" Type="http://schemas.openxmlformats.org/officeDocument/2006/relationships/hyperlink" Target="https://us-east-1.quicksight.aws.amazon.com/sn/account/mdp-ponal/dashboards/3cdb67b1-bf2c-40b8-ba50-617c99d920bc" TargetMode="External"/><Relationship Id="rId32" Type="http://schemas.openxmlformats.org/officeDocument/2006/relationships/hyperlink" Target="https://us-east-1.quicksight.aws.amazon.com/sn/account/mdp-ponal/dashboards/cb3a75bc-cb06-4222-a989-34a52288703b" TargetMode="External"/><Relationship Id="rId53" Type="http://schemas.openxmlformats.org/officeDocument/2006/relationships/hyperlink" Target="https://us-east-1.quicksight.aws.amazon.com/sn/account/mdp-ponal/data-sets/5c12954c-d870-468b-9aeb-c74ea3c9e54e/view" TargetMode="External"/><Relationship Id="rId74" Type="http://schemas.openxmlformats.org/officeDocument/2006/relationships/hyperlink" Target="https://app.ia.policia.gov.co/dashboards/dashboard?idP=345501ba-bc2c-4f83-8ae9-3e57aaa6244b" TargetMode="External"/><Relationship Id="rId128" Type="http://schemas.openxmlformats.org/officeDocument/2006/relationships/hyperlink" Target="https://us-east-1.quicksight.aws.amazon.com/sn/account/mdp-ponal/analyses/51534515-2c96-4157-ba3a-4630811cd1a2" TargetMode="External"/><Relationship Id="rId149" Type="http://schemas.openxmlformats.org/officeDocument/2006/relationships/hyperlink" Target="https://us-east-1.quicksight.aws.amazon.com/sn/account/mdp-ponal/data-sets/432714d2-c346-4f20-ab4d-5ede112e6472/view" TargetMode="External"/><Relationship Id="rId5" Type="http://schemas.openxmlformats.org/officeDocument/2006/relationships/hyperlink" Target="https://us-east-1.quicksight.aws.amazon.com/sn/account/mdp-ponal/dashboards/95437b38-4206-49db-afac-5daf763a49eb" TargetMode="External"/><Relationship Id="rId95" Type="http://schemas.openxmlformats.org/officeDocument/2006/relationships/hyperlink" Target="https://us-east-1.quicksight.aws.amazon.com/sn/account/mdp-ponal/dashboards/fc90fd4d-718c-40bf-aaed-f9ce186d847d" TargetMode="External"/><Relationship Id="rId160" Type="http://schemas.openxmlformats.org/officeDocument/2006/relationships/hyperlink" Target="https://us-east-1.quicksight.aws.amazon.com/sn/dashboards/74a7549f-7797-4f59-ab08-0e3cc87d4a1f" TargetMode="External"/><Relationship Id="rId181" Type="http://schemas.openxmlformats.org/officeDocument/2006/relationships/hyperlink" Target="https://app.ia.policia.gov.co/dashboards/dashboard?idP=38508ccd-722e-478f-93a3-23933a54f6b2" TargetMode="External"/><Relationship Id="rId216" Type="http://schemas.openxmlformats.org/officeDocument/2006/relationships/hyperlink" Target="https://app.ia.policia.gov.co/dashboards/dashboard?idP=bedf8f54-1778-4690-8fcb-369c84879bf4" TargetMode="External"/><Relationship Id="rId22" Type="http://schemas.openxmlformats.org/officeDocument/2006/relationships/hyperlink" Target="https://us-east-1.quicksight.aws.amazon.com/sn/account/mdp-ponal/dashboards/aa8f5fff-e711-4eab-8756-269e2a5ef6fe" TargetMode="External"/><Relationship Id="rId43" Type="http://schemas.openxmlformats.org/officeDocument/2006/relationships/hyperlink" Target="https://us-east-1.quicksight.aws.amazon.com/sn/account/mdp-ponal/data-sets/5c12954c-d870-468b-9aeb-c74ea3c9e54e/view" TargetMode="External"/><Relationship Id="rId64" Type="http://schemas.openxmlformats.org/officeDocument/2006/relationships/hyperlink" Target="https://us-east-1.quicksight.aws.amazon.com/sn/account/mdp-ponal/dashboards/d0c44ebf-15e7-4c33-ac2f-f5fafea8ad23" TargetMode="External"/><Relationship Id="rId118" Type="http://schemas.openxmlformats.org/officeDocument/2006/relationships/hyperlink" Target="https://us-east-1.quicksight.aws.amazon.com/sn/account/mdp-ponal/analyses/dff42332-0fc3-41e1-a97c-061e29cbc8a7" TargetMode="External"/><Relationship Id="rId139" Type="http://schemas.openxmlformats.org/officeDocument/2006/relationships/hyperlink" Target="https://us-east-1.quicksight.aws.amazon.com/sn/account/mdp-ponal/analyses/51534515-2c96-4157-ba3a-4630811cd1a2" TargetMode="External"/><Relationship Id="rId85" Type="http://schemas.openxmlformats.org/officeDocument/2006/relationships/hyperlink" Target="https://us-east-1.quicksight.aws.amazon.com/sn/account/mdp-ponal/analyses/aeaf7d1d-ca1a-49f9-a0a5-b144cd69aa9d" TargetMode="External"/><Relationship Id="rId150" Type="http://schemas.openxmlformats.org/officeDocument/2006/relationships/hyperlink" Target="https://us-east-1.quicksight.aws.amazon.com/sn/account/mdp-ponal/dashboards/ccc2b182-055b-4eaf-846d-87419af1a609" TargetMode="External"/><Relationship Id="rId171" Type="http://schemas.openxmlformats.org/officeDocument/2006/relationships/hyperlink" Target="https://app.ia.policia.gov.co/dashboards/dashboard?idP=96d25f8a-a936-463b-ba55-5c71aac905cf" TargetMode="External"/><Relationship Id="rId192" Type="http://schemas.openxmlformats.org/officeDocument/2006/relationships/hyperlink" Target="https://app.ia.policia.gov.co/dashboards/dashboard?idP=1662038a-faf2-4403-ae67-aa38931574e3" TargetMode="External"/><Relationship Id="rId206" Type="http://schemas.openxmlformats.org/officeDocument/2006/relationships/hyperlink" Target="https://app.ia.policia.gov.co/dashboards/dashboard?idP=1ddbf100-16b1-45a3-a388-5f5fd3dec7bf" TargetMode="External"/><Relationship Id="rId12" Type="http://schemas.openxmlformats.org/officeDocument/2006/relationships/hyperlink" Target="https://us-east-1.quicksight.aws.amazon.com/sn/account/mdp-ponal/analyses/bb1ce844-ebfd-4d91-9782-a8174bdabf81" TargetMode="External"/><Relationship Id="rId33" Type="http://schemas.openxmlformats.org/officeDocument/2006/relationships/hyperlink" Target="https://us-east-1.quicksight.aws.amazon.com/sn/account/mdp-ponal/analyses/db6a62d1-2d9d-43b4-814c-f4eb7f17eaf6" TargetMode="External"/><Relationship Id="rId108" Type="http://schemas.openxmlformats.org/officeDocument/2006/relationships/hyperlink" Target="https://us-east-1.quicksight.aws.amazon.com/sn/account/mdp-ponal/analyses/9884218c-7517-45dd-93b0-394e232112fa" TargetMode="External"/><Relationship Id="rId129" Type="http://schemas.openxmlformats.org/officeDocument/2006/relationships/hyperlink" Target="https://us-east-1.quicksight.aws.amazon.com/sn/account/mdp-ponal/data-sets/3d4ae13a-6436-46bc-8ed8-7fba7d28a3ee/view" TargetMode="External"/><Relationship Id="rId54" Type="http://schemas.openxmlformats.org/officeDocument/2006/relationships/hyperlink" Target="https://us-east-1.quicksight.aws.amazon.com/sn/account/mdp-ponal/dashboards/4042ee3f-cfb4-4e44-9b10-5052338a1750" TargetMode="External"/><Relationship Id="rId75" Type="http://schemas.openxmlformats.org/officeDocument/2006/relationships/hyperlink" Target="https://us-east-1.quicksight.aws.amazon.com/sn/account/mdp-ponal/dashboards/6fc385fe-c879-4d88-baff-b64a1ea0f4e6" TargetMode="External"/><Relationship Id="rId96" Type="http://schemas.openxmlformats.org/officeDocument/2006/relationships/hyperlink" Target="https://us-east-1.quicksight.aws.amazon.com/sn/analyses/c88e2784-ca51-4c63-98bf-a3b42067ad8a" TargetMode="External"/><Relationship Id="rId140" Type="http://schemas.openxmlformats.org/officeDocument/2006/relationships/hyperlink" Target="https://us-east-1.quicksight.aws.amazon.com/sn/account/mdp-ponal/data-sets/3d4ae13a-6436-46bc-8ed8-7fba7d28a3ee/view" TargetMode="External"/><Relationship Id="rId161" Type="http://schemas.openxmlformats.org/officeDocument/2006/relationships/hyperlink" Target="https://us-east-1.quicksight.aws.amazon.com/sn/analyses/8af667ce-e71f-4ce7-8a07-86a6818d4101" TargetMode="External"/><Relationship Id="rId182" Type="http://schemas.openxmlformats.org/officeDocument/2006/relationships/hyperlink" Target="https://app.ia.policia.gov.co/dashboards/dashboard?idP=2f617000-aaca-4079-a330-cb258ad47084" TargetMode="External"/><Relationship Id="rId217" Type="http://schemas.openxmlformats.org/officeDocument/2006/relationships/hyperlink" Target="https://us-east-1.quicksight.aws.amazon.com/sn/account/mdp-ponal/dashboards/eb26ab6d-5941-474a-83f5-db4b16c41c0a" TargetMode="External"/><Relationship Id="rId6" Type="http://schemas.openxmlformats.org/officeDocument/2006/relationships/hyperlink" Target="https://us-east-1.quicksight.aws.amazon.com/sn/account/mdp-ponal/analyses/1913cc21-be20-4337-8935-b760c97c4d26" TargetMode="External"/><Relationship Id="rId23" Type="http://schemas.openxmlformats.org/officeDocument/2006/relationships/hyperlink" Target="https://us-east-1.quicksight.aws.amazon.com/sn/account/mdp-ponal/analyses/ede1d769-c8f8-4053-aae1-d91d99a91fdc" TargetMode="External"/><Relationship Id="rId119" Type="http://schemas.openxmlformats.org/officeDocument/2006/relationships/hyperlink" Target="https://us-east-1.quicksight.aws.amazon.com/sn/account/mdp-ponal/dashboards/0ab57285-f863-486a-9164-92fb29aae456" TargetMode="External"/><Relationship Id="rId44" Type="http://schemas.openxmlformats.org/officeDocument/2006/relationships/hyperlink" Target="https://app.ia.policia.gov.co/embedding/dd195f41-4979-45db-9438-1d0829bd6251" TargetMode="External"/><Relationship Id="rId65" Type="http://schemas.openxmlformats.org/officeDocument/2006/relationships/hyperlink" Target="https://us-east-1.quicksight.aws.amazon.com/sn/account/mdp-ponal/analyses/b5487d70-cd6f-48e9-9453-12863bdb0d9f" TargetMode="External"/><Relationship Id="rId86" Type="http://schemas.openxmlformats.org/officeDocument/2006/relationships/hyperlink" Target="https://us-east-1.quicksight.aws.amazon.com/sn/account/mdp-ponal/data-sets/1ad5b60a-2fc0-4e8e-8428-73f01182539f/view" TargetMode="External"/><Relationship Id="rId130" Type="http://schemas.openxmlformats.org/officeDocument/2006/relationships/hyperlink" Target="https://us-east-1.quicksight.aws.amazon.com/sn/account/mdp-ponal/dashboards/05cb90f6-01fc-49a4-893f-5f9389c52bb9" TargetMode="External"/><Relationship Id="rId151" Type="http://schemas.openxmlformats.org/officeDocument/2006/relationships/hyperlink" Target="https://us-east-1.quicksight.aws.amazon.com/sn/account/mdp-ponal/analyses/64f7bde1-b079-49fb-8084-03fbc79841fc" TargetMode="External"/><Relationship Id="rId172" Type="http://schemas.openxmlformats.org/officeDocument/2006/relationships/hyperlink" Target="https://app.ia.policia.gov.co/dashboards/dashboard?idP=cc16e523-735a-43da-a668-d157fe2e3eb8" TargetMode="External"/><Relationship Id="rId193" Type="http://schemas.openxmlformats.org/officeDocument/2006/relationships/hyperlink" Target="https://app.ia.policia.gov.co/dashboards/dashboard?idP=6621ba87-5ba1-43e9-ba53-957eaf814b0e" TargetMode="External"/><Relationship Id="rId207" Type="http://schemas.openxmlformats.org/officeDocument/2006/relationships/hyperlink" Target="https://app.ia.policia.gov.co/dashboards/dashboard?idP=8cae6307-9b57-4c94-beb3-ae8c7ee7e04f" TargetMode="External"/><Relationship Id="rId13" Type="http://schemas.openxmlformats.org/officeDocument/2006/relationships/hyperlink" Target="https://us-east-1.quicksight.aws.amazon.com/sn/account/mdp-ponal/data-sets/3ac3c685-bb88-46ff-a8f4-68e84719eba7/view" TargetMode="External"/><Relationship Id="rId109" Type="http://schemas.openxmlformats.org/officeDocument/2006/relationships/hyperlink" Target="https://us-east-1.quicksight.aws.amazon.com/sn/account/mdp-ponal/data-sets/1ad5b60a-2fc0-4e8e-8428-73f01182539f/view" TargetMode="External"/><Relationship Id="rId34" Type="http://schemas.openxmlformats.org/officeDocument/2006/relationships/hyperlink" Target="https://us-east-1.quicksight.aws.amazon.com/sn/account/mdp-ponal/dashboards/19a0c4ae-663a-4b56-a1b8-c959d4e03be9" TargetMode="External"/><Relationship Id="rId55" Type="http://schemas.openxmlformats.org/officeDocument/2006/relationships/hyperlink" Target="https://us-east-1.quicksight.aws.amazon.com/sn/account/mdp-ponal/analyses/0013c323-265d-4aa4-a17e-16112b86a58c" TargetMode="External"/><Relationship Id="rId76" Type="http://schemas.openxmlformats.org/officeDocument/2006/relationships/hyperlink" Target="https://us-east-1.quicksight.aws.amazon.com/sn/analyses/6764d4e9-7cf7-462a-9fcb-0776ee18bbd9" TargetMode="External"/><Relationship Id="rId97" Type="http://schemas.openxmlformats.org/officeDocument/2006/relationships/hyperlink" Target="https://app.ia.policia.gov.co/dashboards/dashboard?idP=2110ea22-d326-4247-a0d3-ff5523bcb333" TargetMode="External"/><Relationship Id="rId120" Type="http://schemas.openxmlformats.org/officeDocument/2006/relationships/hyperlink" Target="https://us-east-1.quicksight.aws.amazon.com/sn/account/mdp-ponal/analyses/dff42332-0fc3-41e1-a97c-061e29cbc8a7" TargetMode="External"/><Relationship Id="rId141" Type="http://schemas.openxmlformats.org/officeDocument/2006/relationships/hyperlink" Target="https://us-east-1.quicksight.aws.amazon.com/sn/account/mdp-ponal/dashboards/17a11d96-d3af-4ac6-ad0c-987e1942d23f" TargetMode="External"/><Relationship Id="rId7" Type="http://schemas.openxmlformats.org/officeDocument/2006/relationships/hyperlink" Target="https://app.ia.policia.gov.co/dashboards/dashboard?idP=28bd25b7-d6e1-4d5f-b3ed-d6142ed7b747" TargetMode="External"/><Relationship Id="rId162" Type="http://schemas.openxmlformats.org/officeDocument/2006/relationships/hyperlink" Target="https://us-east-1.quicksight.aws.amazon.com/sn/account/mdp-ponal/data-sets/f0c5cd39-cd63-425b-a040-279b38ea1f64/view" TargetMode="External"/><Relationship Id="rId183" Type="http://schemas.openxmlformats.org/officeDocument/2006/relationships/hyperlink" Target="https://app.ia.policia.gov.co/dashboards/dashboard?idP=f7903f6a-d4dd-4813-a103-e7c6fc4a1324" TargetMode="External"/><Relationship Id="rId218" Type="http://schemas.openxmlformats.org/officeDocument/2006/relationships/hyperlink" Target="https://us-east-1.quicksight.aws.amazon.com/sn/account/mdp-ponal/analyses/71539772-349a-410c-9b80-4afbbc210f38" TargetMode="External"/><Relationship Id="rId24" Type="http://schemas.openxmlformats.org/officeDocument/2006/relationships/hyperlink" Target="https://us-east-1.quicksight.aws.amazon.com/sn/account/mdp-ponal/data-sets/d0d844a5-0602-4e43-8211-42c33b1757c2/view" TargetMode="External"/><Relationship Id="rId45" Type="http://schemas.openxmlformats.org/officeDocument/2006/relationships/hyperlink" Target="https://us-east-1.quicksight.aws.amazon.com/sn/account/mdp-ponal/dashboards/129ac44a-4d7e-4a45-8764-ac26e43b9f77" TargetMode="External"/><Relationship Id="rId66" Type="http://schemas.openxmlformats.org/officeDocument/2006/relationships/hyperlink" Target="https://us-east-1.quicksight.aws.amazon.com/sn/account/mdp-ponal/data-sets/b81ef79a-9385-4051-afc4-5ac2c478cc5e/view" TargetMode="External"/><Relationship Id="rId87" Type="http://schemas.openxmlformats.org/officeDocument/2006/relationships/hyperlink" Target="https://us-east-1.quicksight.aws.amazon.com/sn/account/mdp-ponal/dashboards/96913d99-85db-4697-8e1f-5f9028a6dad8" TargetMode="External"/><Relationship Id="rId110" Type="http://schemas.openxmlformats.org/officeDocument/2006/relationships/hyperlink" Target="https://us-east-1.quicksight.aws.amazon.com/sn/account/mdp-ponal/dashboards/bf3cedbc-e647-45ca-a967-031ba5387e73" TargetMode="External"/><Relationship Id="rId131" Type="http://schemas.openxmlformats.org/officeDocument/2006/relationships/hyperlink" Target="https://us-east-1.quicksight.aws.amazon.com/sn/account/mdp-ponal/analyses/b6c23e38-4647-44d6-a00c-68eb5a173d76" TargetMode="External"/><Relationship Id="rId152" Type="http://schemas.openxmlformats.org/officeDocument/2006/relationships/hyperlink" Target="https://us-east-1.quicksight.aws.amazon.com/sn/account/mdp-ponal/dashboards/4ca1a557-ec9e-4391-8072-b99fccf8cea1" TargetMode="External"/><Relationship Id="rId173" Type="http://schemas.openxmlformats.org/officeDocument/2006/relationships/hyperlink" Target="https://app.ia.policia.gov.co/dashboards/dashboard?idP=cf3aa71e-78c1-43d8-a414-a908b0577d31" TargetMode="External"/><Relationship Id="rId194" Type="http://schemas.openxmlformats.org/officeDocument/2006/relationships/hyperlink" Target="https://app.ia.policia.gov.co/dashboards/dashboard?idP=fbc77b1e-000b-4ad0-b3fd-549101ddbd4e" TargetMode="External"/><Relationship Id="rId208" Type="http://schemas.openxmlformats.org/officeDocument/2006/relationships/hyperlink" Target="https://app.ia.policia.gov.co/dashboards/dashboard?idP=3529d12a-f9f4-4fb9-b5bf-3d2b372abcb8" TargetMode="External"/><Relationship Id="rId14" Type="http://schemas.openxmlformats.org/officeDocument/2006/relationships/hyperlink" Target="https://app.ia.policia.gov.co/dashboards/dashboard?idP=9f64c3dc-70a6-4efe-9338-84f56ca5a032" TargetMode="External"/><Relationship Id="rId35" Type="http://schemas.openxmlformats.org/officeDocument/2006/relationships/hyperlink" Target="https://us-east-1.quicksight.aws.amazon.com/sn/account/mdp-ponal/analyses/a40a23da-a102-455c-9546-a8db418857bc" TargetMode="External"/><Relationship Id="rId56" Type="http://schemas.openxmlformats.org/officeDocument/2006/relationships/hyperlink" Target="https://us-east-1.quicksight.aws.amazon.com/sn/account/mdp-ponal/data-sets/5c12954c-d870-468b-9aeb-c74ea3c9e54e/view" TargetMode="External"/><Relationship Id="rId77" Type="http://schemas.openxmlformats.org/officeDocument/2006/relationships/hyperlink" Target="https://us-east-1.quicksight.aws.amazon.com/sn/account/mdp-ponal/dashboards/29b27773-aec1-418d-9681-2b339a786f75" TargetMode="External"/><Relationship Id="rId100" Type="http://schemas.openxmlformats.org/officeDocument/2006/relationships/hyperlink" Target="https://us-east-1.quicksight.aws.amazon.com/sn/account/mdp-ponal/data-sets/1ad5b60a-2fc0-4e8e-8428-73f01182539f/view" TargetMode="External"/><Relationship Id="rId8" Type="http://schemas.openxmlformats.org/officeDocument/2006/relationships/hyperlink" Target="https://us-east-1.quicksight.aws.amazon.com/sn/account/mdp-ponal/dashboards/5c257ab6-b97c-4a5d-b68e-0589fb29c08a" TargetMode="External"/><Relationship Id="rId51" Type="http://schemas.openxmlformats.org/officeDocument/2006/relationships/hyperlink" Target="https://us-east-1.quicksight.aws.amazon.com/sn/account/mdp-ponal/dashboards/4042ee3f-cfb4-4e44-9b10-5052338a1750" TargetMode="External"/><Relationship Id="rId72" Type="http://schemas.openxmlformats.org/officeDocument/2006/relationships/hyperlink" Target="https://us-east-1.quicksight.aws.amazon.com/sn/account/mdp-ponal/analyses/f596d443-bffb-4400-a371-aea034f873ca" TargetMode="External"/><Relationship Id="rId93" Type="http://schemas.openxmlformats.org/officeDocument/2006/relationships/hyperlink" Target="https://us-east-1.quicksight.aws.amazon.com/sn/account/mdp-ponal/analyses/97255ec4-0860-4498-864b-8f1e331285e9" TargetMode="External"/><Relationship Id="rId98" Type="http://schemas.openxmlformats.org/officeDocument/2006/relationships/hyperlink" Target="https://us-east-1.quicksight.aws.amazon.com/sn/account/mdp-ponal/dashboards/44d5b51a-a131-4ce1-9d76-66a147daa92b" TargetMode="External"/><Relationship Id="rId121" Type="http://schemas.openxmlformats.org/officeDocument/2006/relationships/hyperlink" Target="https://us-east-1.quicksight.aws.amazon.com/sn/account/mdp-ponal/dashboards/15a2ecdd-ff40-4ce3-8646-37b3a84f2533" TargetMode="External"/><Relationship Id="rId142" Type="http://schemas.openxmlformats.org/officeDocument/2006/relationships/hyperlink" Target="https://us-east-1.quicksight.aws.amazon.com/sn/account/mdp-ponal/analyses/dff42332-0fc3-41e1-a97c-061e29cbc8a7" TargetMode="External"/><Relationship Id="rId163" Type="http://schemas.openxmlformats.org/officeDocument/2006/relationships/hyperlink" Target="https://us-east-1.quicksight.aws.amazon.com/sn/account/mdp-ponal/dashboards/e6097852-f2fe-4f31-bcc7-13a82f5e10fa" TargetMode="External"/><Relationship Id="rId184" Type="http://schemas.openxmlformats.org/officeDocument/2006/relationships/hyperlink" Target="https://app.ia.policia.gov.co/dashboards/dashboard?idP=c205f91c-23f4-4a24-a699-4c0a860c843b" TargetMode="External"/><Relationship Id="rId189" Type="http://schemas.openxmlformats.org/officeDocument/2006/relationships/hyperlink" Target="https://app.ia.policia.gov.co/dashboards/dashboard?idP=c3d7e1bf-9fd2-4369-87fc-6abdd7447491" TargetMode="External"/><Relationship Id="rId219" Type="http://schemas.openxmlformats.org/officeDocument/2006/relationships/hyperlink" Target="https://us-east-1.quicksight.aws.amazon.com/sn/account/mdp-ponal/dashboards/ccde979b-7f8b-422a-9bd1-c62a6e768437" TargetMode="External"/><Relationship Id="rId3" Type="http://schemas.openxmlformats.org/officeDocument/2006/relationships/hyperlink" Target="https://us-east-1.quicksight.aws.amazon.com/sn/account/mdp-ponal/analyses/1913cc21-be20-4337-8935-b760c97c4d26" TargetMode="External"/><Relationship Id="rId214" Type="http://schemas.openxmlformats.org/officeDocument/2006/relationships/hyperlink" Target="https://us-east-1.quicksight.aws.amazon.com/sn/account/mdp-ponal/dashboards/d3efbe19-bed1-45b3-9d46-779b85741700" TargetMode="External"/><Relationship Id="rId25" Type="http://schemas.openxmlformats.org/officeDocument/2006/relationships/hyperlink" Target="https://app.ia.policia.gov.co/dashboards/dashboard?idP=b0055a30-1fe5-4c99-9af5-d1a177dbc9b8" TargetMode="External"/><Relationship Id="rId46" Type="http://schemas.openxmlformats.org/officeDocument/2006/relationships/hyperlink" Target="https://us-east-1.quicksight.aws.amazon.com/sn/account/mdp-ponal/analyses/7a62250a-2416-4309-8934-533c82bc1627" TargetMode="External"/><Relationship Id="rId67" Type="http://schemas.openxmlformats.org/officeDocument/2006/relationships/hyperlink" Target="https://us-east-1.quicksight.aws.amazon.com/sn/account/mdp-ponal/dashboards/2d0998eb-0b98-4b44-96dd-98e7bc6a96d2" TargetMode="External"/><Relationship Id="rId116" Type="http://schemas.openxmlformats.org/officeDocument/2006/relationships/hyperlink" Target="https://us-east-1.quicksight.aws.amazon.com/sn/account/mdp-ponal/analyses/dff42332-0fc3-41e1-a97c-061e29cbc8a7" TargetMode="External"/><Relationship Id="rId137" Type="http://schemas.openxmlformats.org/officeDocument/2006/relationships/hyperlink" Target="https://us-east-1.quicksight.aws.amazon.com/sn/account/mdp-ponal/data-sets/1ad5b60a-2fc0-4e8e-8428-73f01182539f/view" TargetMode="External"/><Relationship Id="rId158" Type="http://schemas.openxmlformats.org/officeDocument/2006/relationships/hyperlink" Target="https://us-east-1.quicksight.aws.amazon.com/sn/account/mdp-ponal/analyses/104359dc-1413-4bee-a9db-b66225711e0e" TargetMode="External"/><Relationship Id="rId20" Type="http://schemas.openxmlformats.org/officeDocument/2006/relationships/hyperlink" Target="https://us-east-1.quicksight.aws.amazon.com/sn/account/mdp-ponal/analyses/db6a62d1-2d9d-43b4-814c-f4eb7f17eaf6" TargetMode="External"/><Relationship Id="rId41" Type="http://schemas.openxmlformats.org/officeDocument/2006/relationships/hyperlink" Target="https://us-east-1.quicksight.aws.amazon.com/sn/account/mdp-ponal/dashboards/45bc393a-09ce-4779-a641-4fca895c0864" TargetMode="External"/><Relationship Id="rId62" Type="http://schemas.openxmlformats.org/officeDocument/2006/relationships/hyperlink" Target="https://us-east-1.quicksight.aws.amazon.com/sn/account/mdp-ponal/analyses/b5487d70-cd6f-48e9-9453-12863bdb0d9f" TargetMode="External"/><Relationship Id="rId83" Type="http://schemas.openxmlformats.org/officeDocument/2006/relationships/hyperlink" Target="https://us-east-1.quicksight.aws.amazon.com/sn/analyses/c88e2784-ca51-4c63-98bf-a3b42067ad8a" TargetMode="External"/><Relationship Id="rId88" Type="http://schemas.openxmlformats.org/officeDocument/2006/relationships/hyperlink" Target="https://us-east-1.quicksight.aws.amazon.com/sn/account/mdp-ponal/analyses/b9df5324-e64f-4d75-b056-c0d3f4d10f0a" TargetMode="External"/><Relationship Id="rId111" Type="http://schemas.openxmlformats.org/officeDocument/2006/relationships/hyperlink" Target="https://us-east-1.quicksight.aws.amazon.com/sn/account/mdp-ponal/analyses/9884218c-7517-45dd-93b0-394e232112fa" TargetMode="External"/><Relationship Id="rId132" Type="http://schemas.openxmlformats.org/officeDocument/2006/relationships/hyperlink" Target="https://us-east-1.quicksight.aws.amazon.com/sn/account/mdp-ponal/dashboards/efe913e6-c2fd-45a8-b676-95ae31b93731" TargetMode="External"/><Relationship Id="rId153" Type="http://schemas.openxmlformats.org/officeDocument/2006/relationships/hyperlink" Target="https://us-east-1.quicksight.aws.amazon.com/sn/account/mdp-ponal/analyses/d696868f-01f0-4378-af32-86652dc0bb7a" TargetMode="External"/><Relationship Id="rId174" Type="http://schemas.openxmlformats.org/officeDocument/2006/relationships/hyperlink" Target="https://app.ia.policia.gov.co/dashboards/dashboard?idP=b73f9f66-d597-4e49-89f6-ec9ae95e739c" TargetMode="External"/><Relationship Id="rId179" Type="http://schemas.openxmlformats.org/officeDocument/2006/relationships/hyperlink" Target="https://app.ia.policia.gov.co/dashboards/dashboard?idP=c1476ebc-87ce-4b35-9c89-18cd52b1cee6" TargetMode="External"/><Relationship Id="rId195" Type="http://schemas.openxmlformats.org/officeDocument/2006/relationships/hyperlink" Target="https://app.ia.policia.gov.co/dashboards/dashboard?idP=2d3f7a27-9976-48c4-91c7-e7b4b09ea53f" TargetMode="External"/><Relationship Id="rId209" Type="http://schemas.openxmlformats.org/officeDocument/2006/relationships/hyperlink" Target="https://us-east-1.quicksight.aws.amazon.com/sn/analyses/dff42332-0fc3-41e1-a97c-061e29cbc8a7" TargetMode="External"/><Relationship Id="rId190" Type="http://schemas.openxmlformats.org/officeDocument/2006/relationships/hyperlink" Target="https://app.ia.policia.gov.co/dashboards/dashboard?idP=8aea7932-76db-4abe-b9fb-644812a27445" TargetMode="External"/><Relationship Id="rId204" Type="http://schemas.openxmlformats.org/officeDocument/2006/relationships/hyperlink" Target="https://app.ia.policia.gov.co/dashboards/dashboard?idP=3529d12a-f9f4-4fb9-b5bf-3d2b372abcb8" TargetMode="External"/><Relationship Id="rId220" Type="http://schemas.openxmlformats.org/officeDocument/2006/relationships/hyperlink" Target="https://us-east-1.quicksight.aws.amazon.com/sn/account/mdp-ponal/analyses/382fa305-48e2-412a-b626-52810382cbc7" TargetMode="External"/><Relationship Id="rId15" Type="http://schemas.openxmlformats.org/officeDocument/2006/relationships/hyperlink" Target="https://us-east-1.quicksight.aws.amazon.com/sn/account/mdp-ponal/dashboards/aa8f5fff-e711-4eab-8756-269e2a5ef6fe" TargetMode="External"/><Relationship Id="rId36" Type="http://schemas.openxmlformats.org/officeDocument/2006/relationships/hyperlink" Target="https://us-east-1.quicksight.aws.amazon.com/sn/account/mdp-ponal/dashboards/4042ee3f-cfb4-4e44-9b10-5052338a1750" TargetMode="External"/><Relationship Id="rId57" Type="http://schemas.openxmlformats.org/officeDocument/2006/relationships/hyperlink" Target="https://us-east-1.quicksight.aws.amazon.com/sn/account/mdp-ponal/dashboards/4042ee3f-cfb4-4e44-9b10-5052338a1750" TargetMode="External"/><Relationship Id="rId106" Type="http://schemas.openxmlformats.org/officeDocument/2006/relationships/hyperlink" Target="https://us-east-1.quicksight.aws.amazon.com/sn/account/mdp-ponal/data-sets/1ad5b60a-2fc0-4e8e-8428-73f01182539f/view" TargetMode="External"/><Relationship Id="rId127" Type="http://schemas.openxmlformats.org/officeDocument/2006/relationships/hyperlink" Target="https://us-east-1.quicksight.aws.amazon.com/sn/account/mdp-ponal/dashboards/c6116f03-ff9f-41b6-b245-1cd475bd63ac" TargetMode="External"/><Relationship Id="rId10" Type="http://schemas.openxmlformats.org/officeDocument/2006/relationships/hyperlink" Target="https://app.ia.policia.gov.co/dashboards/dashboard?idP=c0e41924-3426-4ad1-976d-739782df32de" TargetMode="External"/><Relationship Id="rId31" Type="http://schemas.openxmlformats.org/officeDocument/2006/relationships/hyperlink" Target="https://app.ia.policia.gov.co/dashboards/dashboard?idP=ef0a8870-6396-4cc9-9244-0c44d9cec903" TargetMode="External"/><Relationship Id="rId52" Type="http://schemas.openxmlformats.org/officeDocument/2006/relationships/hyperlink" Target="https://us-east-1.quicksight.aws.amazon.com/sn/account/mdp-ponal/analyses/0013c323-265d-4aa4-a17e-16112b86a58c" TargetMode="External"/><Relationship Id="rId73" Type="http://schemas.openxmlformats.org/officeDocument/2006/relationships/hyperlink" Target="https://us-east-1.quicksight.aws.amazon.com/sn/account/mdp-ponal/data-sets/20243305-0138-4baa-be81-daa8d2f47dbf/view" TargetMode="External"/><Relationship Id="rId78" Type="http://schemas.openxmlformats.org/officeDocument/2006/relationships/hyperlink" Target="https://us-east-1.quicksight.aws.amazon.com/sn/account/mdp-ponal/analyses/c88e2784-ca51-4c63-98bf-a3b42067ad8a" TargetMode="External"/><Relationship Id="rId94" Type="http://schemas.openxmlformats.org/officeDocument/2006/relationships/hyperlink" Target="https://us-east-1.quicksight.aws.amazon.com/sn/account/mdp-ponal/data-sets/1ad5b60a-2fc0-4e8e-8428-73f01182539f/view" TargetMode="External"/><Relationship Id="rId99" Type="http://schemas.openxmlformats.org/officeDocument/2006/relationships/hyperlink" Target="https://us-east-1.quicksight.aws.amazon.com/sn/account/mdp-ponal/analyses/07658da9-d757-4f8f-9772-50131d9de9e1" TargetMode="External"/><Relationship Id="rId101" Type="http://schemas.openxmlformats.org/officeDocument/2006/relationships/hyperlink" Target="https://us-east-1.quicksight.aws.amazon.com/sn/account/mdp-ponal/dashboards/bf3cedbc-e647-45ca-a967-031ba5387e73" TargetMode="External"/><Relationship Id="rId122" Type="http://schemas.openxmlformats.org/officeDocument/2006/relationships/hyperlink" Target="https://us-east-1.quicksight.aws.amazon.com/sn/account/mdp-ponal/analyses/903fecde-4667-462d-a1e7-76b79d02c2ec1" TargetMode="External"/><Relationship Id="rId143" Type="http://schemas.openxmlformats.org/officeDocument/2006/relationships/hyperlink" Target="https://us-east-1.quicksight.aws.amazon.com/sn/account/mdp-ponal/dashboards/17a11d96-d3af-4ac6-ad0c-987e1942d23f" TargetMode="External"/><Relationship Id="rId148" Type="http://schemas.openxmlformats.org/officeDocument/2006/relationships/hyperlink" Target="https://us-east-1.quicksight.aws.amazon.com/sn/account/mdp-ponal/analyses/985e78f8-88e7-4305-9610-376fe0c3863d" TargetMode="External"/><Relationship Id="rId164" Type="http://schemas.openxmlformats.org/officeDocument/2006/relationships/hyperlink" Target="https://us-east-1.quicksight.aws.amazon.com/sn/account/mdp-ponal/analyses/53256f6b-e7f8-4e5c-a6b3-e9ec4a173ebb" TargetMode="External"/><Relationship Id="rId169" Type="http://schemas.openxmlformats.org/officeDocument/2006/relationships/hyperlink" Target="https://app.ia.policia.gov.co/dashboards/dashboard?idP=a393fb0f-6f31-4be3-83bc-946a44dbde22" TargetMode="External"/><Relationship Id="rId185" Type="http://schemas.openxmlformats.org/officeDocument/2006/relationships/hyperlink" Target="https://app.ia.policia.gov.co/dashboards/dashboard?idP=04d3fa1e-80d4-4016-af9e-19c8134792fe" TargetMode="External"/><Relationship Id="rId4" Type="http://schemas.openxmlformats.org/officeDocument/2006/relationships/hyperlink" Target="https://app.ia.policia.gov.co/dashboards/dashboard?idP=0ba2c2db-255c-406c-98bc-822a5473ed46" TargetMode="External"/><Relationship Id="rId9" Type="http://schemas.openxmlformats.org/officeDocument/2006/relationships/hyperlink" Target="https://us-east-1.quicksight.aws.amazon.com/sn/account/mdp-ponal/analyses/bb1ce844-ebfd-4d91-9782-a8174bdabf81" TargetMode="External"/><Relationship Id="rId180" Type="http://schemas.openxmlformats.org/officeDocument/2006/relationships/hyperlink" Target="https://app.ia.policia.gov.co/dashboards/dashboard?idP=69f99d01-4818-4975-9c25-3e9cbcc095ea" TargetMode="External"/><Relationship Id="rId210" Type="http://schemas.openxmlformats.org/officeDocument/2006/relationships/hyperlink" Target="https://us-east-1.quicksight.aws.amazon.com/sn/account/mdp-ponal/dashboards/f07731c2-230b-4047-9e82-1c462c7245fc" TargetMode="External"/><Relationship Id="rId215" Type="http://schemas.openxmlformats.org/officeDocument/2006/relationships/hyperlink" Target="https://us-east-1.quicksight.aws.amazon.com/sn/account/mdp-ponal/dashboards/e10005c5-a7d9-4097-833e-b8e6bb905413" TargetMode="External"/><Relationship Id="rId26" Type="http://schemas.openxmlformats.org/officeDocument/2006/relationships/hyperlink" Target="https://us-east-1.quicksight.aws.amazon.com/sn/account/mdp-ponal/dashboards/95437b38-4206-49db-afac-5daf763a49eb" TargetMode="External"/><Relationship Id="rId47" Type="http://schemas.openxmlformats.org/officeDocument/2006/relationships/hyperlink" Target="https://us-east-1.quicksight.aws.amazon.com/sn/account/mdp-ponal/data-sets/0ae3c99a-e04c-4bcb-8975-378d469f4652/view" TargetMode="External"/><Relationship Id="rId68" Type="http://schemas.openxmlformats.org/officeDocument/2006/relationships/hyperlink" Target="https://us-east-1.quicksight.aws.amazon.com/sn/account/mdp-ponal/analyses/eed2f6ee-91db-46c4-a9da-fbfed569114a" TargetMode="External"/><Relationship Id="rId89" Type="http://schemas.openxmlformats.org/officeDocument/2006/relationships/hyperlink" Target="https://us-east-1.quicksight.aws.amazon.com/sn/account/mdp-ponal/data-sets/36114e41-0bb0-47b9-9d90-724f0ef8788c/view" TargetMode="External"/><Relationship Id="rId112" Type="http://schemas.openxmlformats.org/officeDocument/2006/relationships/hyperlink" Target="https://us-east-1.quicksight.aws.amazon.com/sn/account/mdp-ponal/data-sets/1ad5b60a-2fc0-4e8e-8428-73f01182539f/view" TargetMode="External"/><Relationship Id="rId133" Type="http://schemas.openxmlformats.org/officeDocument/2006/relationships/hyperlink" Target="https://us-east-1.quicksight.aws.amazon.com/sn/account/mdp-ponal/analyses/f785fb1d-a690-427a-893d-ce29d7c289fd" TargetMode="External"/><Relationship Id="rId154" Type="http://schemas.openxmlformats.org/officeDocument/2006/relationships/hyperlink" Target="https://us-east-1.quicksight.aws.amazon.com/sn/account/mdp-ponal/dashboards/e6097852-f2fe-4f31-bcc7-13a82f5e10fa" TargetMode="External"/><Relationship Id="rId175" Type="http://schemas.openxmlformats.org/officeDocument/2006/relationships/hyperlink" Target="https://app.ia.policia.gov.co/dashboards/dashboard?idP=b37a8807-93d6-4f3d-95c9-c0910638a7c1" TargetMode="External"/><Relationship Id="rId196" Type="http://schemas.openxmlformats.org/officeDocument/2006/relationships/hyperlink" Target="https://app.ia.policia.gov.co/dashboards/dashboard?idP=06989970-84ab-4f62-b585-cb9d46c2b188" TargetMode="External"/><Relationship Id="rId200" Type="http://schemas.openxmlformats.org/officeDocument/2006/relationships/hyperlink" Target="https://app.ia.policia.gov.co/dashboards/dashboard?idP=28638b73-801e-4d4d-9082-650206c6fd6a" TargetMode="External"/><Relationship Id="rId16" Type="http://schemas.openxmlformats.org/officeDocument/2006/relationships/hyperlink" Target="https://us-east-1.quicksight.aws.amazon.com/sn/account/mdp-ponal/analyses/ede1d769-c8f8-4053-aae1-d91d99a91fdc" TargetMode="External"/><Relationship Id="rId221" Type="http://schemas.openxmlformats.org/officeDocument/2006/relationships/hyperlink" Target="https://us-east-1.quicksight.aws.amazon.com/sn/analyses/451d97fa-7874-42ac-bd86-631d92bb6ac2" TargetMode="External"/><Relationship Id="rId37" Type="http://schemas.openxmlformats.org/officeDocument/2006/relationships/hyperlink" Target="https://us-east-1.quicksight.aws.amazon.com/sn/account/mdp-ponal/analyses/0013c323-265d-4aa4-a17e-16112b86a58c" TargetMode="External"/><Relationship Id="rId58" Type="http://schemas.openxmlformats.org/officeDocument/2006/relationships/hyperlink" Target="https://us-east-1.quicksight.aws.amazon.com/sn/account/mdp-ponal/analyses/0013c323-265d-4aa4-a17e-16112b86a58c" TargetMode="External"/><Relationship Id="rId79" Type="http://schemas.openxmlformats.org/officeDocument/2006/relationships/hyperlink" Target="https://us-east-1.quicksight.aws.amazon.com/sn/dashboards/b2e47b7e-ed31-48e4-9b40-fd646db1a0d9" TargetMode="External"/><Relationship Id="rId102" Type="http://schemas.openxmlformats.org/officeDocument/2006/relationships/hyperlink" Target="https://us-east-1.quicksight.aws.amazon.com/sn/account/mdp-ponal/analyses/9884218c-7517-45dd-93b0-394e232112fa" TargetMode="External"/><Relationship Id="rId123" Type="http://schemas.openxmlformats.org/officeDocument/2006/relationships/hyperlink" Target="https://us-east-1.quicksight.aws.amazon.com/sn/account/mdp-ponal/data-sets/a0517bdc-2aa7-44f9-9805-12c1f7809930/view" TargetMode="External"/><Relationship Id="rId144" Type="http://schemas.openxmlformats.org/officeDocument/2006/relationships/hyperlink" Target="https://us-east-1.quicksight.aws.amazon.com/sn/account/mdp-ponal/analyses/dff42332-0fc3-41e1-a97c-061e29cbc8a7" TargetMode="External"/><Relationship Id="rId90" Type="http://schemas.openxmlformats.org/officeDocument/2006/relationships/hyperlink" Target="https://us-east-1.quicksight.aws.amazon.com/sn/account/mdp-ponal/dashboards/3a913ae6-8234-41fe-a720-37cafad6393f" TargetMode="External"/><Relationship Id="rId165" Type="http://schemas.openxmlformats.org/officeDocument/2006/relationships/hyperlink" Target="https://app.ia.policia.gov.co/dashboards/dashboard?idP=91342635-99a7-4f4e-b204-fb9de2837877" TargetMode="External"/><Relationship Id="rId186" Type="http://schemas.openxmlformats.org/officeDocument/2006/relationships/hyperlink" Target="https://app.ia.policia.gov.co/dashboards/dashboard?idP=4a4e2a23-a894-4af5-ac78-950760af1d1a" TargetMode="External"/><Relationship Id="rId211" Type="http://schemas.openxmlformats.org/officeDocument/2006/relationships/hyperlink" Target="https://app.ia.policia.gov.co/dashboards/dashboard?idP=9a85ecc3-9f09-4d03-82e9-35788b503c5e" TargetMode="External"/><Relationship Id="rId27" Type="http://schemas.openxmlformats.org/officeDocument/2006/relationships/hyperlink" Target="https://us-east-1.quicksight.aws.amazon.com/sn/account/mdp-ponal/analyses/1913cc21-be20-4337-8935-b760c97c4d26" TargetMode="External"/><Relationship Id="rId48" Type="http://schemas.openxmlformats.org/officeDocument/2006/relationships/hyperlink" Target="https://us-east-1.quicksight.aws.amazon.com/sn/account/mdp-ponal/dashboards/45bc393a-09ce-4779-a641-4fca895c0864" TargetMode="External"/><Relationship Id="rId69" Type="http://schemas.openxmlformats.org/officeDocument/2006/relationships/hyperlink" Target="https://us-east-1.quicksight.aws.amazon.com/sn/account/mdp-ponal/data-sets/20243305-0138-4baa-be81-daa8d2f47dbf/view" TargetMode="External"/><Relationship Id="rId113" Type="http://schemas.openxmlformats.org/officeDocument/2006/relationships/hyperlink" Target="https://us-east-1.quicksight.aws.amazon.com/sn/account/mdp-ponal/dashboards/06a5204e-58c3-4e0a-8d4a-2ace99a206ef" TargetMode="External"/><Relationship Id="rId134" Type="http://schemas.openxmlformats.org/officeDocument/2006/relationships/hyperlink" Target="https://us-east-1.quicksight.aws.amazon.com/sn/account/mdp-ponal/data-sets/3d4ae13a-6436-46bc-8ed8-7fba7d28a3ee/view" TargetMode="External"/><Relationship Id="rId80" Type="http://schemas.openxmlformats.org/officeDocument/2006/relationships/hyperlink" Target="https://us-east-1.quicksight.aws.amazon.com/sn/analyses/c88e2784-ca51-4c63-98bf-a3b42067ad8a" TargetMode="External"/><Relationship Id="rId155" Type="http://schemas.openxmlformats.org/officeDocument/2006/relationships/hyperlink" Target="https://us-east-1.quicksight.aws.amazon.com/sn/account/mdp-ponal/analyses/53256f6b-e7f8-4e5c-a6b3-e9ec4a173ebb" TargetMode="External"/><Relationship Id="rId176" Type="http://schemas.openxmlformats.org/officeDocument/2006/relationships/hyperlink" Target="https://app.ia.policia.gov.co/dashboards/dashboard?idP=20768193-06f8-4b04-9766-35a451ae4af7" TargetMode="External"/><Relationship Id="rId197" Type="http://schemas.openxmlformats.org/officeDocument/2006/relationships/hyperlink" Target="https://app.ia.policia.gov.co/dashboards/dashboard?idP=f469987f-5666-4ea4-b675-3eb82c0678aa" TargetMode="External"/><Relationship Id="rId201" Type="http://schemas.openxmlformats.org/officeDocument/2006/relationships/hyperlink" Target="https://app.ia.policia.gov.co/dashboards/dashboard?idP=2b953fbd-dbe6-4a1a-80d9-cf1b29f94467" TargetMode="External"/><Relationship Id="rId222" Type="http://schemas.openxmlformats.org/officeDocument/2006/relationships/hyperlink" Target="https://us-east-1.quicksight.aws.amazon.com/sn/account/mdp-ponal/data-sets/f1e7d587-0182-4664-9f11-13856ddf70ae/view" TargetMode="External"/><Relationship Id="rId17" Type="http://schemas.openxmlformats.org/officeDocument/2006/relationships/hyperlink" Target="https://us-east-1.quicksight.aws.amazon.com/sn/account/mdp-ponal/data-sets/d0d844a5-0602-4e43-8211-42c33b1757c2/view" TargetMode="External"/><Relationship Id="rId38" Type="http://schemas.openxmlformats.org/officeDocument/2006/relationships/hyperlink" Target="https://us-east-1.quicksight.aws.amazon.com/sn/account/mdp-ponal/data-sets/5c12954c-d870-468b-9aeb-c74ea3c9e54e/view" TargetMode="External"/><Relationship Id="rId59" Type="http://schemas.openxmlformats.org/officeDocument/2006/relationships/hyperlink" Target="https://us-east-1.quicksight.aws.amazon.com/sn/account/mdp-ponal/data-sets/5c12954c-d870-468b-9aeb-c74ea3c9e54e/view" TargetMode="External"/><Relationship Id="rId103" Type="http://schemas.openxmlformats.org/officeDocument/2006/relationships/hyperlink" Target="https://us-east-1.quicksight.aws.amazon.com/sn/account/mdp-ponal/data-sets/1ad5b60a-2fc0-4e8e-8428-73f01182539f/view" TargetMode="External"/><Relationship Id="rId124" Type="http://schemas.openxmlformats.org/officeDocument/2006/relationships/hyperlink" Target="https://us-east-1.quicksight.aws.amazon.com/sn/account/mdp-ponal/dashboards/efe913e6-c2fd-45a8-b676-95ae31b93731" TargetMode="External"/><Relationship Id="rId70" Type="http://schemas.openxmlformats.org/officeDocument/2006/relationships/hyperlink" Target="https://app.ia.policia.gov.co/dashboards/dashboard?idP=521d0fd4-8782-444c-b24e-140b3b3e58a7" TargetMode="External"/><Relationship Id="rId91" Type="http://schemas.openxmlformats.org/officeDocument/2006/relationships/hyperlink" Target="https://us-east-1.quicksight.aws.amazon.com/sn/account/mdp-ponal/analyses/fd8ef8ee-7a5a-4252-9ea3-2ef5f6f3562c" TargetMode="External"/><Relationship Id="rId145" Type="http://schemas.openxmlformats.org/officeDocument/2006/relationships/hyperlink" Target="https://us-east-1.quicksight.aws.amazon.com/sn/account/mdp-ponal/dashboards/1dee1c32-3c72-4ba1-84b4-890c377c8464" TargetMode="External"/><Relationship Id="rId166" Type="http://schemas.openxmlformats.org/officeDocument/2006/relationships/hyperlink" Target="https://app.ia.policia.gov.co/dashboards/dashboard?idP=7e08873d-fd63-43da-b43d-8142540c8cae" TargetMode="External"/><Relationship Id="rId187" Type="http://schemas.openxmlformats.org/officeDocument/2006/relationships/hyperlink" Target="https://app.ia.policia.gov.co/dashboards/dashboard?idP=9705a05b-bb29-41ce-9b28-d115fe45ecfe" TargetMode="External"/><Relationship Id="rId1" Type="http://schemas.openxmlformats.org/officeDocument/2006/relationships/hyperlink" Target="https://app.ia.policia.gov.co/dashboards/dashboard?idP=1efa30a2-2261-4c5a-8d6b-09ad2bf1ef33" TargetMode="External"/><Relationship Id="rId212" Type="http://schemas.openxmlformats.org/officeDocument/2006/relationships/hyperlink" Target="https://app.ia.policia.gov.co/dashboards/dashboard?idP=ecfcd71e-4981-457c-a922-809c7cd7ee10" TargetMode="External"/><Relationship Id="rId28" Type="http://schemas.openxmlformats.org/officeDocument/2006/relationships/hyperlink" Target="https://app.ia.policia.gov.co/dashboards/dashboard?idP=eedf8e57-8c29-4a62-8997-3d1309932d1b" TargetMode="External"/><Relationship Id="rId49" Type="http://schemas.openxmlformats.org/officeDocument/2006/relationships/hyperlink" Target="https://us-east-1.quicksight.aws.amazon.com/sn/account/mdp-ponal/analyses/b2d24bed-3501-4640-b6a8-7b642803dc2b" TargetMode="External"/><Relationship Id="rId114" Type="http://schemas.openxmlformats.org/officeDocument/2006/relationships/hyperlink" Target="https://us-east-1.quicksight.aws.amazon.com/sn/account/mdp-ponal/analyses/b378d703-661d-41d1-82dd-5b9f40051314" TargetMode="External"/><Relationship Id="rId60" Type="http://schemas.openxmlformats.org/officeDocument/2006/relationships/hyperlink" Target="https://app.ia.policia.gov.co/dashboards/dashboard?idP=eda8bd09-2668-48f9-a5c2-504593fda809" TargetMode="External"/><Relationship Id="rId81" Type="http://schemas.openxmlformats.org/officeDocument/2006/relationships/hyperlink" Target="https://app.ia.policia.gov.co/dashboards/dashboard?idP=1bc2b86a-3183-45de-844e-93c063acf415" TargetMode="External"/><Relationship Id="rId135" Type="http://schemas.openxmlformats.org/officeDocument/2006/relationships/hyperlink" Target="https://us-east-1.quicksight.aws.amazon.com/sn/account/mdp-ponal/dashboards/fee54fc6-5c81-47fb-86a4-d5bca2a0521e" TargetMode="External"/><Relationship Id="rId156" Type="http://schemas.openxmlformats.org/officeDocument/2006/relationships/hyperlink" Target="https://us-east-1.quicksight.aws.amazon.com/sn/account/mdp-ponal/data-sets/0515da61-d0a0-4b5b-b055-a1f490231d28/view" TargetMode="External"/><Relationship Id="rId177" Type="http://schemas.openxmlformats.org/officeDocument/2006/relationships/hyperlink" Target="https://app.ia.policia.gov.co/dashboards/dashboard?idP=63e26857-8e4c-4cf8-8d9c-c55dfb3fc2b5" TargetMode="External"/><Relationship Id="rId198" Type="http://schemas.openxmlformats.org/officeDocument/2006/relationships/hyperlink" Target="https://app.ia.policia.gov.co/dashboards/dashboard?idP=91fa1fdf-7a7b-480c-9d67-ac08fd961af8" TargetMode="External"/><Relationship Id="rId202" Type="http://schemas.openxmlformats.org/officeDocument/2006/relationships/hyperlink" Target="https://app.ia.policia.gov.co/dashboards/dashboard?idP=1e77b492-c9f2-48e9-ba15-8759829499e2" TargetMode="External"/><Relationship Id="rId223" Type="http://schemas.openxmlformats.org/officeDocument/2006/relationships/table" Target="../tables/table1.xml"/><Relationship Id="rId18" Type="http://schemas.openxmlformats.org/officeDocument/2006/relationships/hyperlink" Target="https://app.ia.policia.gov.co/dashboards/dashboard?idP=93ab79bb-5ff2-4c94-be0f-ffc4b35332b8" TargetMode="External"/><Relationship Id="rId39" Type="http://schemas.openxmlformats.org/officeDocument/2006/relationships/hyperlink" Target="https://us-east-1.quicksight.aws.amazon.com/sn/dashboards/9617666d-dfbb-4794-b388-689a4a627235" TargetMode="External"/><Relationship Id="rId50" Type="http://schemas.openxmlformats.org/officeDocument/2006/relationships/hyperlink" Target="https://us-east-1.quicksight.aws.amazon.com/sn/account/mdp-ponal/data-sets/5c12954c-d870-468b-9aeb-c74ea3c9e54e/view" TargetMode="External"/><Relationship Id="rId104" Type="http://schemas.openxmlformats.org/officeDocument/2006/relationships/hyperlink" Target="https://us-east-1.quicksight.aws.amazon.com/sn/account/mdp-ponal/dashboards/95064f11-466c-4fec-af50-c0461f442303" TargetMode="External"/><Relationship Id="rId125" Type="http://schemas.openxmlformats.org/officeDocument/2006/relationships/hyperlink" Target="https://us-east-1.quicksight.aws.amazon.com/sn/account/mdp-ponal/analyses/f785fb1d-a690-427a-893d-ce29d7c289fd" TargetMode="External"/><Relationship Id="rId146" Type="http://schemas.openxmlformats.org/officeDocument/2006/relationships/hyperlink" Target="https://us-east-1.quicksight.aws.amazon.com/sn/account/mdp-ponal/analyses/98d3036a-ea39-4692-9e28-565d6a8263c2" TargetMode="External"/><Relationship Id="rId167" Type="http://schemas.openxmlformats.org/officeDocument/2006/relationships/hyperlink" Target="https://app.ia.policia.gov.co/dashboards/dashboard?idP=00b52bfa-6564-4ca0-a8cf-20721877fb9d" TargetMode="External"/><Relationship Id="rId188" Type="http://schemas.openxmlformats.org/officeDocument/2006/relationships/hyperlink" Target="https://app.ia.policia.gov.co/dashboards/dashboard?idP=008e9cb1-902a-43c6-b5a2-168f882bd342" TargetMode="External"/><Relationship Id="rId71" Type="http://schemas.openxmlformats.org/officeDocument/2006/relationships/hyperlink" Target="https://us-east-1.quicksight.aws.amazon.com/sn/account/mdp-ponal/dashboards/e35a4fa7-7276-41e3-b6ce-09fd7effa0c7" TargetMode="External"/><Relationship Id="rId92" Type="http://schemas.openxmlformats.org/officeDocument/2006/relationships/hyperlink" Target="https://us-east-1.quicksight.aws.amazon.com/sn/account/mdp-ponal/dashboards/95064f11-466c-4fec-af50-c0461f442303" TargetMode="External"/><Relationship Id="rId213" Type="http://schemas.openxmlformats.org/officeDocument/2006/relationships/hyperlink" Target="https://us-east-1.quicksight.aws.amazon.com/sn/account/mdp-ponal/dashboards/6ac75796-432e-4380-b909-f747ce8ac54d" TargetMode="External"/><Relationship Id="rId2" Type="http://schemas.openxmlformats.org/officeDocument/2006/relationships/hyperlink" Target="https://us-east-1.quicksight.aws.amazon.com/sn/account/mdp-ponal/dashboards/c5162f42-19fe-4481-9f18-d041c1de13bf" TargetMode="External"/><Relationship Id="rId29" Type="http://schemas.openxmlformats.org/officeDocument/2006/relationships/hyperlink" Target="https://us-east-1.quicksight.aws.amazon.com/sn/account/mdp-ponal/dashboards/cb3a75bc-cb06-4222-a989-34a52288703b" TargetMode="External"/><Relationship Id="rId40" Type="http://schemas.openxmlformats.org/officeDocument/2006/relationships/hyperlink" Target="https://us-east-1.quicksight.aws.amazon.com/sn/analyses/e9e9038d-cd8c-433b-b9bb-bdf484d98ec4" TargetMode="External"/><Relationship Id="rId115" Type="http://schemas.openxmlformats.org/officeDocument/2006/relationships/hyperlink" Target="https://us-east-1.quicksight.aws.amazon.com/sn/account/mdp-ponal/dashboards/bfc7ed70-6dbe-4d31-866a-641bdca015ce" TargetMode="External"/><Relationship Id="rId136" Type="http://schemas.openxmlformats.org/officeDocument/2006/relationships/hyperlink" Target="https://us-east-1.quicksight.aws.amazon.com/sn/account/mdp-ponal/analyses/aeaf7d1d-ca1a-49f9-a0a5-b144cd69aa9d" TargetMode="External"/><Relationship Id="rId157" Type="http://schemas.openxmlformats.org/officeDocument/2006/relationships/hyperlink" Target="https://us-east-1.quicksight.aws.amazon.com/sn/account/mdp-ponal/dashboards/88250990-87f5-4079-b184-c31dbc561847" TargetMode="External"/><Relationship Id="rId178" Type="http://schemas.openxmlformats.org/officeDocument/2006/relationships/hyperlink" Target="https://app.ia.policia.gov.co/dashboards/dashboard?idP=dfa72729-1525-4ee6-8ed4-0446d14e7d47" TargetMode="External"/><Relationship Id="rId61" Type="http://schemas.openxmlformats.org/officeDocument/2006/relationships/hyperlink" Target="https://us-east-1.quicksight.aws.amazon.com/sn/account/mdp-ponal/dashboards/d0c44ebf-15e7-4c33-ac2f-f5fafea8ad23" TargetMode="External"/><Relationship Id="rId82" Type="http://schemas.openxmlformats.org/officeDocument/2006/relationships/hyperlink" Target="https://us-east-1.quicksight.aws.amazon.com/sn/account/mdp-ponal/dashboards/fc90fd4d-718c-40bf-aaed-f9ce186d847d" TargetMode="External"/><Relationship Id="rId199" Type="http://schemas.openxmlformats.org/officeDocument/2006/relationships/hyperlink" Target="https://app.ia.policia.gov.co/dashboards/dashboard?idP=8ba26073-b63a-4588-adf2-f3322698aa9a" TargetMode="External"/><Relationship Id="rId203" Type="http://schemas.openxmlformats.org/officeDocument/2006/relationships/hyperlink" Target="https://app.ia.policia.gov.co/dashboards/dashboard?idP=3618670f-ac66-483b-825b-50baad078a2b" TargetMode="External"/><Relationship Id="rId19" Type="http://schemas.openxmlformats.org/officeDocument/2006/relationships/hyperlink" Target="https://us-east-1.quicksight.aws.amazon.com/sn/account/mdp-ponal/dashboards/cb3a75bc-cb06-4222-a989-34a52288703b" TargetMode="External"/><Relationship Id="rId30" Type="http://schemas.openxmlformats.org/officeDocument/2006/relationships/hyperlink" Target="https://us-east-1.quicksight.aws.amazon.com/sn/account/mdp-ponal/analyses/db6a62d1-2d9d-43b4-814c-f4eb7f17eaf6" TargetMode="External"/><Relationship Id="rId105" Type="http://schemas.openxmlformats.org/officeDocument/2006/relationships/hyperlink" Target="https://us-east-1.quicksight.aws.amazon.com/sn/account/mdp-ponal/analyses/97255ec4-0860-4498-864b-8f1e331285e9" TargetMode="External"/><Relationship Id="rId126" Type="http://schemas.openxmlformats.org/officeDocument/2006/relationships/hyperlink" Target="https://us-east-1.quicksight.aws.amazon.com/sn/account/mdp-ponal/data-sets/3d4ae13a-6436-46bc-8ed8-7fba7d28a3ee/view" TargetMode="External"/><Relationship Id="rId147" Type="http://schemas.openxmlformats.org/officeDocument/2006/relationships/hyperlink" Target="https://us-east-1.quicksight.aws.amazon.com/sn/account/mdp-ponal/dashboards/58790302-cd92-4fdc-b3e4-4cfc9c496ad4" TargetMode="External"/><Relationship Id="rId168" Type="http://schemas.openxmlformats.org/officeDocument/2006/relationships/hyperlink" Target="https://app.ia.policia.gov.co/dashboards/dashboard?idP=906c927b-56f1-484d-8567-4f9343a5d15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-east-1.quicksight.aws.amazon.com/sn/account/mdp-ponal/analyses/dd35977f-e560-468c-b4a6-541189610e8f" TargetMode="External"/><Relationship Id="rId21" Type="http://schemas.openxmlformats.org/officeDocument/2006/relationships/hyperlink" Target="https://us-east-1.quicksight.aws.amazon.com/sn/account/mdp-ponal/dashboards/05cb90f6-01fc-49a4-893f-5f9389c52bb9" TargetMode="External"/><Relationship Id="rId42" Type="http://schemas.openxmlformats.org/officeDocument/2006/relationships/hyperlink" Target="https://us-east-1.quicksight.aws.amazon.com/sn/account/mdp-ponal/dashboards/3ce0feb4-ddfd-4c58-962f-d8f5f40ea5b0" TargetMode="External"/><Relationship Id="rId63" Type="http://schemas.openxmlformats.org/officeDocument/2006/relationships/hyperlink" Target="https://us-east-1.quicksight.aws.amazon.com/sn/account/mdp-ponal/dashboards/66835bec-0ffe-4ddb-ad82-92989f901671" TargetMode="External"/><Relationship Id="rId84" Type="http://schemas.openxmlformats.org/officeDocument/2006/relationships/hyperlink" Target="https://us-east-1.quicksight.aws.amazon.com/sn/account/mdp-ponal/dashboards/95064f11-466c-4fec-af50-c0461f442303" TargetMode="External"/><Relationship Id="rId138" Type="http://schemas.openxmlformats.org/officeDocument/2006/relationships/hyperlink" Target="https://us-east-1.quicksight.aws.amazon.com/sn/account/mdp-ponal/analyses/84bfe4a1-34c6-456a-b984-fe4ea7a263c3" TargetMode="External"/><Relationship Id="rId159" Type="http://schemas.openxmlformats.org/officeDocument/2006/relationships/hyperlink" Target="https://us-east-1.quicksight.aws.amazon.com/sn/account/mdp-ponal/analyses/7a62250a-2416-4309-8934-533c82bc1627" TargetMode="External"/><Relationship Id="rId170" Type="http://schemas.openxmlformats.org/officeDocument/2006/relationships/hyperlink" Target="https://us-east-1.quicksight.aws.amazon.com/sn/account/mdp-ponal/analyses/b9df5324-e64f-4d75-b056-c0d3f4d10f0a" TargetMode="External"/><Relationship Id="rId107" Type="http://schemas.openxmlformats.org/officeDocument/2006/relationships/hyperlink" Target="https://us-east-1.quicksight.aws.amazon.com/sn/account/mdp-ponal/analyses/2303e74a-8deb-4b17-8d5f-41527c5d0c9f" TargetMode="External"/><Relationship Id="rId11" Type="http://schemas.openxmlformats.org/officeDocument/2006/relationships/hyperlink" Target="https://us-east-1.quicksight.aws.amazon.com/sn/account/mdp-ponal/dashboards/5067868f-7378-46f8-ba4c-efd68d9c6551" TargetMode="External"/><Relationship Id="rId32" Type="http://schemas.openxmlformats.org/officeDocument/2006/relationships/hyperlink" Target="https://us-east-1.quicksight.aws.amazon.com/sn/account/mdp-ponal/dashboards/1e8dab2b-ab32-47b7-8925-9fcb7e4410a8" TargetMode="External"/><Relationship Id="rId53" Type="http://schemas.openxmlformats.org/officeDocument/2006/relationships/hyperlink" Target="https://us-east-1.quicksight.aws.amazon.com/sn/account/mdp-ponal/dashboards/1d37ec06-7af2-43a0-8cab-c3c6dff50e78" TargetMode="External"/><Relationship Id="rId74" Type="http://schemas.openxmlformats.org/officeDocument/2006/relationships/hyperlink" Target="https://us-east-1.quicksight.aws.amazon.com/sn/account/mdp-ponal/dashboards/b6401373-54bb-46ba-81c0-c45b9f080e5b" TargetMode="External"/><Relationship Id="rId128" Type="http://schemas.openxmlformats.org/officeDocument/2006/relationships/hyperlink" Target="https://us-east-1.quicksight.aws.amazon.com/sn/account/mdp-ponal/analyses/91bf75f1-5763-409f-b22c-83657340b113" TargetMode="External"/><Relationship Id="rId149" Type="http://schemas.openxmlformats.org/officeDocument/2006/relationships/hyperlink" Target="https://us-east-1.quicksight.aws.amazon.com/sn/account/mdp-ponal/analyses/b2d24bed-3501-4640-b6a8-7b642803dc2b" TargetMode="External"/><Relationship Id="rId5" Type="http://schemas.openxmlformats.org/officeDocument/2006/relationships/hyperlink" Target="https://us-east-1.quicksight.aws.amazon.com/sn/account/mdp-ponal/dashboards/d9e34ef4-0349-4330-9902-423fa2082ab0" TargetMode="External"/><Relationship Id="rId95" Type="http://schemas.openxmlformats.org/officeDocument/2006/relationships/hyperlink" Target="https://us-east-1.quicksight.aws.amazon.com/sn/account/mdp-ponal/dashboards/bf3cedbc-e647-45ca-a967-031ba5387e73" TargetMode="External"/><Relationship Id="rId160" Type="http://schemas.openxmlformats.org/officeDocument/2006/relationships/hyperlink" Target="https://us-east-1.quicksight.aws.amazon.com/sn/account/mdp-ponal/analyses/b378d703-661d-41d1-82dd-5b9f40051314" TargetMode="External"/><Relationship Id="rId181" Type="http://schemas.microsoft.com/office/2019/04/relationships/namedSheetView" Target="../namedSheetViews/namedSheetView1.xml"/><Relationship Id="rId22" Type="http://schemas.openxmlformats.org/officeDocument/2006/relationships/hyperlink" Target="https://us-east-1.quicksight.aws.amazon.com/sn/account/mdp-ponal/dashboards/05d339ee-df3a-4423-a4ef-36498ae87953" TargetMode="External"/><Relationship Id="rId43" Type="http://schemas.openxmlformats.org/officeDocument/2006/relationships/hyperlink" Target="https://us-east-1.quicksight.aws.amazon.com/sn/account/mdp-ponal/dashboards/3d756e15-326b-4198-b520-6e9757b63a8b" TargetMode="External"/><Relationship Id="rId64" Type="http://schemas.openxmlformats.org/officeDocument/2006/relationships/hyperlink" Target="https://us-east-1.quicksight.aws.amazon.com/sn/account/mdp-ponal/dashboards/cb11cdfa-f109-4e8f-9ab4-0b0beed641e3" TargetMode="External"/><Relationship Id="rId118" Type="http://schemas.openxmlformats.org/officeDocument/2006/relationships/hyperlink" Target="https://us-east-1.quicksight.aws.amazon.com/sn/account/mdp-ponal/analyses/35f0f6fe-0a6e-4b7b-91c7-759b8f048d0b" TargetMode="External"/><Relationship Id="rId139" Type="http://schemas.openxmlformats.org/officeDocument/2006/relationships/hyperlink" Target="https://us-east-1.quicksight.aws.amazon.com/sn/account/mdp-ponal/analyses/382fa305-48e2-412a-b626-52810382cbc7" TargetMode="External"/><Relationship Id="rId85" Type="http://schemas.openxmlformats.org/officeDocument/2006/relationships/hyperlink" Target="https://us-east-1.quicksight.aws.amazon.com/sn/account/mdp-ponal/dashboards/8eb37c3f-345c-4417-bbc1-7f601716ed99" TargetMode="External"/><Relationship Id="rId150" Type="http://schemas.openxmlformats.org/officeDocument/2006/relationships/hyperlink" Target="https://us-east-1.quicksight.aws.amazon.com/sn/account/mdp-ponal/analyses/9884218c-7517-45dd-93b0-394e232112fa" TargetMode="External"/><Relationship Id="rId171" Type="http://schemas.openxmlformats.org/officeDocument/2006/relationships/hyperlink" Target="https://us-east-1.quicksight.aws.amazon.com/sn/account/mdp-ponal/analyses/51534515-2c96-4157-ba3a-4630811cd1a2" TargetMode="External"/><Relationship Id="rId12" Type="http://schemas.openxmlformats.org/officeDocument/2006/relationships/hyperlink" Target="https://us-east-1.quicksight.aws.amazon.com/sn/account/mdp-ponal/dashboards/4a30e217-1ea9-48e5-96e6-5c7bbfc04b62" TargetMode="External"/><Relationship Id="rId33" Type="http://schemas.openxmlformats.org/officeDocument/2006/relationships/hyperlink" Target="https://us-east-1.quicksight.aws.amazon.com/sn/account/mdp-ponal/dashboards/2013641f-ae5a-4707-86a7-a8afaa206b2c" TargetMode="External"/><Relationship Id="rId108" Type="http://schemas.openxmlformats.org/officeDocument/2006/relationships/hyperlink" Target="https://us-east-1.quicksight.aws.amazon.com/sn/account/mdp-ponal/analyses/c88e2784-ca51-4c63-98bf-a3b42067ad8a" TargetMode="External"/><Relationship Id="rId129" Type="http://schemas.openxmlformats.org/officeDocument/2006/relationships/hyperlink" Target="https://us-east-1.quicksight.aws.amazon.com/sn/account/mdp-ponal/analyses/dff42332-0fc3-41e1-a97c-061e29cbc8a7" TargetMode="External"/><Relationship Id="rId54" Type="http://schemas.openxmlformats.org/officeDocument/2006/relationships/hyperlink" Target="https://us-east-1.quicksight.aws.amazon.com/sn/account/mdp-ponal/dashboards/11babd9d-8f83-43eb-8ed3-967cfc0e87e3" TargetMode="External"/><Relationship Id="rId75" Type="http://schemas.openxmlformats.org/officeDocument/2006/relationships/hyperlink" Target="https://us-east-1.quicksight.aws.amazon.com/sn/account/mdp-ponal/dashboards/b2e47b7e-ed31-48e4-9b40-fd646db1a0d9" TargetMode="External"/><Relationship Id="rId96" Type="http://schemas.openxmlformats.org/officeDocument/2006/relationships/hyperlink" Target="https://us-east-1.quicksight.aws.amazon.com/sn/account/mdp-ponal/dashboards/44d5b51a-a131-4ce1-9d76-66a147daa92b" TargetMode="External"/><Relationship Id="rId140" Type="http://schemas.openxmlformats.org/officeDocument/2006/relationships/hyperlink" Target="https://us-east-1.quicksight.aws.amazon.com/sn/account/mdp-ponal/analyses/903fecde-4667-462d-a1e7-76b79d02c2ec1" TargetMode="External"/><Relationship Id="rId161" Type="http://schemas.openxmlformats.org/officeDocument/2006/relationships/hyperlink" Target="https://us-east-1.quicksight.aws.amazon.com/sn/account/mdp-ponal/analyses/6764d4e9-7cf7-462a-9fcb-0776ee18bbd9" TargetMode="External"/><Relationship Id="rId6" Type="http://schemas.openxmlformats.org/officeDocument/2006/relationships/hyperlink" Target="https://us-east-1.quicksight.aws.amazon.com/sn/account/mdp-ponal/dashboards/7c139bff-82c2-49a6-980e-ddcbe23f3f96" TargetMode="External"/><Relationship Id="rId23" Type="http://schemas.openxmlformats.org/officeDocument/2006/relationships/hyperlink" Target="https://us-east-1.quicksight.aws.amazon.com/sn/account/mdp-ponal/dashboards/06a5204e-58c3-4e0a-8d4a-2ace99a206ef" TargetMode="External"/><Relationship Id="rId119" Type="http://schemas.openxmlformats.org/officeDocument/2006/relationships/hyperlink" Target="https://us-east-1.quicksight.aws.amazon.com/sn/account/mdp-ponal/analyses/6764d4e9-7cf7-462a-9fcb-0776ee18bbd9" TargetMode="External"/><Relationship Id="rId44" Type="http://schemas.openxmlformats.org/officeDocument/2006/relationships/hyperlink" Target="https://us-east-1.quicksight.aws.amazon.com/sn/account/mdp-ponal/dashboards/4042ee3f-cfb4-4e44-9b10-5052338a1750" TargetMode="External"/><Relationship Id="rId60" Type="http://schemas.openxmlformats.org/officeDocument/2006/relationships/hyperlink" Target="https://us-east-1.quicksight.aws.amazon.com/sn/account/mdp-ponal/dashboards/ccc2b182-055b-4eaf-846d-87419af1a609" TargetMode="External"/><Relationship Id="rId65" Type="http://schemas.openxmlformats.org/officeDocument/2006/relationships/hyperlink" Target="https://us-east-1.quicksight.aws.amazon.com/sn/account/mdp-ponal/dashboards/c6116f03-ff9f-41b6-b245-1cd475bd63ac" TargetMode="External"/><Relationship Id="rId81" Type="http://schemas.openxmlformats.org/officeDocument/2006/relationships/hyperlink" Target="https://us-east-1.quicksight.aws.amazon.com/sn/account/mdp-ponal/dashboards/6f01c900-6e72-46b3-8cc9-ac8d527c595e" TargetMode="External"/><Relationship Id="rId86" Type="http://schemas.openxmlformats.org/officeDocument/2006/relationships/hyperlink" Target="https://us-east-1.quicksight.aws.amazon.com/sn/account/mdp-ponal/dashboards/8dfa04ac-24c5-4b98-8600-9f62b8a4d4e2" TargetMode="External"/><Relationship Id="rId130" Type="http://schemas.openxmlformats.org/officeDocument/2006/relationships/hyperlink" Target="https://us-east-1.quicksight.aws.amazon.com/sn/account/mdp-ponal/analyses/7423c540-06c8-4478-9466-8d7a00d3d434" TargetMode="External"/><Relationship Id="rId135" Type="http://schemas.openxmlformats.org/officeDocument/2006/relationships/hyperlink" Target="https://us-east-1.quicksight.aws.amazon.com/sn/account/mdp-ponal/analyses/53256f6b-e7f8-4e5c-a6b3-e9ec4a173ebb" TargetMode="External"/><Relationship Id="rId151" Type="http://schemas.openxmlformats.org/officeDocument/2006/relationships/hyperlink" Target="https://us-east-1.quicksight.aws.amazon.com/sn/account/mdp-ponal/analyses/0013c323-265d-4aa4-a17e-16112b86a58c" TargetMode="External"/><Relationship Id="rId156" Type="http://schemas.openxmlformats.org/officeDocument/2006/relationships/hyperlink" Target="https://us-east-1.quicksight.aws.amazon.com/sn/account/mdp-ponal/analyses/98d3036a-ea39-4692-9e28-565d6a8263c2" TargetMode="External"/><Relationship Id="rId177" Type="http://schemas.openxmlformats.org/officeDocument/2006/relationships/hyperlink" Target="https://us-east-1.quicksight.aws.amazon.com/sn/account/mdp-ponal/data-sets/257f0b02-7ddc-4aa0-91f7-3ef03a9b54e8/view" TargetMode="External"/><Relationship Id="rId172" Type="http://schemas.openxmlformats.org/officeDocument/2006/relationships/hyperlink" Target="https://us-east-1.quicksight.aws.amazon.com/sn/account/mdp-ponal/analyses/d1cd36ae-8305-4ebe-9047-48b70f35ccbe" TargetMode="External"/><Relationship Id="rId13" Type="http://schemas.openxmlformats.org/officeDocument/2006/relationships/hyperlink" Target="https://us-east-1.quicksight.aws.amazon.com/sn/account/mdp-ponal/dashboards/eb9d194d-6d2b-4ace-ab3b-7464bf3ed1fd" TargetMode="External"/><Relationship Id="rId18" Type="http://schemas.openxmlformats.org/officeDocument/2006/relationships/hyperlink" Target="https://us-east-1.quicksight.aws.amazon.com/sn/account/mdp-ponal/dashboards/fc42f8f1-f040-49a3-af82-b25e68bdbb97" TargetMode="External"/><Relationship Id="rId39" Type="http://schemas.openxmlformats.org/officeDocument/2006/relationships/hyperlink" Target="https://us-east-1.quicksight.aws.amazon.com/sn/account/mdp-ponal/dashboards/3a913ae6-8234-41fe-a720-37cafad6393f" TargetMode="External"/><Relationship Id="rId109" Type="http://schemas.openxmlformats.org/officeDocument/2006/relationships/hyperlink" Target="https://us-east-1.quicksight.aws.amazon.com/sn/account/mdp-ponal/analyses/4892640a-ae9c-433f-ad24-2867673ec847" TargetMode="External"/><Relationship Id="rId34" Type="http://schemas.openxmlformats.org/officeDocument/2006/relationships/hyperlink" Target="https://us-east-1.quicksight.aws.amazon.com/sn/account/mdp-ponal/dashboards/29b27773-aec1-418d-9681-2b339a786f75" TargetMode="External"/><Relationship Id="rId50" Type="http://schemas.openxmlformats.org/officeDocument/2006/relationships/hyperlink" Target="https://us-east-1.quicksight.aws.amazon.com/sn/account/mdp-ponal/dashboards/4a30e217-1ea9-48e5-96e6-5c7bbfc04b62" TargetMode="External"/><Relationship Id="rId55" Type="http://schemas.openxmlformats.org/officeDocument/2006/relationships/hyperlink" Target="https://us-east-1.quicksight.aws.amazon.com/sn/account/mdp-ponal/dashboards/65da1864-08dd-4b08-9aa9-5db1c5827a7c" TargetMode="External"/><Relationship Id="rId76" Type="http://schemas.openxmlformats.org/officeDocument/2006/relationships/hyperlink" Target="https://us-east-1.quicksight.aws.amazon.com/sn/account/mdp-ponal/dashboards/b259c983-82c4-4e5c-97f5-a736a4bda20b" TargetMode="External"/><Relationship Id="rId97" Type="http://schemas.openxmlformats.org/officeDocument/2006/relationships/hyperlink" Target="https://us-east-1.quicksight.aws.amazon.com/sn/account/mdp-ponal/dashboards/6ac75796-432e-4380-b909-f747ce8ac54d" TargetMode="External"/><Relationship Id="rId104" Type="http://schemas.openxmlformats.org/officeDocument/2006/relationships/hyperlink" Target="https://us-east-1.quicksight.aws.amazon.com/sn/account/mdp-ponal/analyses/6764d4e9-7cf7-462a-9fcb-0776ee18bbd9" TargetMode="External"/><Relationship Id="rId120" Type="http://schemas.openxmlformats.org/officeDocument/2006/relationships/hyperlink" Target="https://us-east-1.quicksight.aws.amazon.com/sn/account/mdp-ponal/analyses/dff42332-0fc3-41e1-a97c-061e29cbc8a7" TargetMode="External"/><Relationship Id="rId125" Type="http://schemas.openxmlformats.org/officeDocument/2006/relationships/hyperlink" Target="https://us-east-1.quicksight.aws.amazon.com/sn/account/mdp-ponal/analyses/1af4a670-776c-4c13-8c85-d929aedb7f46" TargetMode="External"/><Relationship Id="rId141" Type="http://schemas.openxmlformats.org/officeDocument/2006/relationships/hyperlink" Target="https://us-east-1.quicksight.aws.amazon.com/sn/account/mdp-ponal/analyses/1ac25ad5-f462-4d20-afd6-0f4a7c024651" TargetMode="External"/><Relationship Id="rId146" Type="http://schemas.openxmlformats.org/officeDocument/2006/relationships/hyperlink" Target="https://us-east-1.quicksight.aws.amazon.com/sn/account/mdp-ponal/analyses/84014aad-b9b8-4332-bd8d-50acd2f4ad75" TargetMode="External"/><Relationship Id="rId167" Type="http://schemas.openxmlformats.org/officeDocument/2006/relationships/hyperlink" Target="https://us-east-1.quicksight.aws.amazon.com/sn/account/mdp-ponal/analyses/b5487d70-cd6f-48e9-9453-12863bdb0d9f" TargetMode="External"/><Relationship Id="rId7" Type="http://schemas.openxmlformats.org/officeDocument/2006/relationships/hyperlink" Target="https://us-east-1.quicksight.aws.amazon.com/sn/account/mdp-ponal/dashboards/e10005c5-a7d9-4097-833e-b8e6bb905413" TargetMode="External"/><Relationship Id="rId71" Type="http://schemas.openxmlformats.org/officeDocument/2006/relationships/hyperlink" Target="https://us-east-1.quicksight.aws.amazon.com/sn/account/mdp-ponal/dashboards/beb633ff-4feb-4b1f-9cdb-2267e08518f8" TargetMode="External"/><Relationship Id="rId92" Type="http://schemas.openxmlformats.org/officeDocument/2006/relationships/hyperlink" Target="https://us-east-1.quicksight.aws.amazon.com/sn/account/mdp-ponal/dashboards/74a7549f-7797-4f59-ab08-0e3cc87d4a1f" TargetMode="External"/><Relationship Id="rId162" Type="http://schemas.openxmlformats.org/officeDocument/2006/relationships/hyperlink" Target="https://us-east-1.quicksight.aws.amazon.com/sn/account/mdp-ponal/analyses/b6c23e38-4647-44d6-a00c-68eb5a173d76" TargetMode="External"/><Relationship Id="rId2" Type="http://schemas.openxmlformats.org/officeDocument/2006/relationships/hyperlink" Target="https://us-east-1.quicksight.aws.amazon.com/sn/account/mdp-ponal/dashboards/d0c44ebf-15e7-4c33-ac2f-f5fafea8ad23" TargetMode="External"/><Relationship Id="rId29" Type="http://schemas.openxmlformats.org/officeDocument/2006/relationships/hyperlink" Target="https://us-east-1.quicksight.aws.amazon.com/sn/account/mdp-ponal/dashboards/17a11d96-d3af-4ac6-ad0c-987e1942d23f" TargetMode="External"/><Relationship Id="rId24" Type="http://schemas.openxmlformats.org/officeDocument/2006/relationships/hyperlink" Target="https://us-east-1.quicksight.aws.amazon.com/sn/account/mdp-ponal/dashboards/08ee704a-5867-41f0-8193-9b28f2f4fbba" TargetMode="External"/><Relationship Id="rId40" Type="http://schemas.openxmlformats.org/officeDocument/2006/relationships/hyperlink" Target="https://us-east-1.quicksight.aws.amazon.com/sn/account/mdp-ponal/dashboards/3b257f92-8c1c-4aeb-9b35-84a9b04d0036" TargetMode="External"/><Relationship Id="rId45" Type="http://schemas.openxmlformats.org/officeDocument/2006/relationships/hyperlink" Target="https://us-east-1.quicksight.aws.amazon.com/sn/account/mdp-ponal/dashboards/4437ab0f-cb86-4a5b-b19a-595bc5ed86fd" TargetMode="External"/><Relationship Id="rId66" Type="http://schemas.openxmlformats.org/officeDocument/2006/relationships/hyperlink" Target="https://us-east-1.quicksight.aws.amazon.com/sn/account/mdp-ponal/dashboards/c6108ce5-2a9b-468d-a4ee-9ef6fa80710e" TargetMode="External"/><Relationship Id="rId87" Type="http://schemas.openxmlformats.org/officeDocument/2006/relationships/hyperlink" Target="https://us-east-1.quicksight.aws.amazon.com/sn/account/mdp-ponal/dashboards/88250990-87f5-4079-b184-c31dbc561847" TargetMode="External"/><Relationship Id="rId110" Type="http://schemas.openxmlformats.org/officeDocument/2006/relationships/hyperlink" Target="https://us-east-1.quicksight.aws.amazon.com/sn/account/mdp-ponal/analyses/8fd2dac6-6eeb-404d-812f-04b1f9d7553c" TargetMode="External"/><Relationship Id="rId115" Type="http://schemas.openxmlformats.org/officeDocument/2006/relationships/hyperlink" Target="https://us-east-1.quicksight.aws.amazon.com/sn/account/mdp-ponal/analyses/01817696-f389-4457-95aa-c5419e5e5a72" TargetMode="External"/><Relationship Id="rId131" Type="http://schemas.openxmlformats.org/officeDocument/2006/relationships/hyperlink" Target="https://us-east-1.quicksight.aws.amazon.com/sn/account/mdp-ponal/analyses/dff42332-0fc3-41e1-a97c-061e29cbc8a7" TargetMode="External"/><Relationship Id="rId136" Type="http://schemas.openxmlformats.org/officeDocument/2006/relationships/hyperlink" Target="https://us-east-1.quicksight.aws.amazon.com/sn/account/mdp-ponal/analyses/07222feb-9dff-408b-a39a-d335527fb7df" TargetMode="External"/><Relationship Id="rId157" Type="http://schemas.openxmlformats.org/officeDocument/2006/relationships/hyperlink" Target="https://us-east-1.quicksight.aws.amazon.com/sn/account/mdp-ponal/analyses/d696868f-01f0-4378-af32-86652dc0bb7a" TargetMode="External"/><Relationship Id="rId178" Type="http://schemas.openxmlformats.org/officeDocument/2006/relationships/hyperlink" Target="https://us-east-1.quicksight.aws.amazon.com/sn/dashboards/ccde979b-7f8b-422a-9bd1-c62a6e768437" TargetMode="External"/><Relationship Id="rId61" Type="http://schemas.openxmlformats.org/officeDocument/2006/relationships/hyperlink" Target="https://us-east-1.quicksight.aws.amazon.com/sn/account/mdp-ponal/dashboards/cc137341-0705-4755-8fcb-c508b729c73b" TargetMode="External"/><Relationship Id="rId82" Type="http://schemas.openxmlformats.org/officeDocument/2006/relationships/hyperlink" Target="https://us-east-1.quicksight.aws.amazon.com/sn/account/mdp-ponal/dashboards/9617666d-dfbb-4794-b388-689a4a627235" TargetMode="External"/><Relationship Id="rId152" Type="http://schemas.openxmlformats.org/officeDocument/2006/relationships/hyperlink" Target="https://us-east-1.quicksight.aws.amazon.com/sn/account/mdp-ponal/analyses/5a17d77e-0fcb-4ec5-a37e-806ff11be56b" TargetMode="External"/><Relationship Id="rId173" Type="http://schemas.openxmlformats.org/officeDocument/2006/relationships/hyperlink" Target="https://us-east-1.quicksight.aws.amazon.com/sn/account/mdp-ponal/analyses/07658da9-d757-4f8f-9772-50131d9de9e1" TargetMode="External"/><Relationship Id="rId19" Type="http://schemas.openxmlformats.org/officeDocument/2006/relationships/hyperlink" Target="https://us-east-1.quicksight.aws.amazon.com/sn/account/mdp-ponal/dashboards/fc90fd4d-718c-40bf-aaed-f9ce186d847d" TargetMode="External"/><Relationship Id="rId14" Type="http://schemas.openxmlformats.org/officeDocument/2006/relationships/hyperlink" Target="https://us-east-1.quicksight.aws.amazon.com/sn/account/mdp-ponal/dashboards/efe913e6-c2fd-45a8-b676-95ae31b93731" TargetMode="External"/><Relationship Id="rId30" Type="http://schemas.openxmlformats.org/officeDocument/2006/relationships/hyperlink" Target="https://us-east-1.quicksight.aws.amazon.com/sn/account/mdp-ponal/dashboards/19a0c4ae-663a-4b56-a1b8-c959d4e03be9" TargetMode="External"/><Relationship Id="rId35" Type="http://schemas.openxmlformats.org/officeDocument/2006/relationships/hyperlink" Target="https://us-east-1.quicksight.aws.amazon.com/sn/account/mdp-ponal/dashboards/2d0998eb-0b98-4b44-96dd-98e7bc6a96d2" TargetMode="External"/><Relationship Id="rId56" Type="http://schemas.openxmlformats.org/officeDocument/2006/relationships/hyperlink" Target="https://us-east-1.quicksight.aws.amazon.com/sn/account/mdp-ponal/dashboards/3c7ee138-5cb0-420c-9e56-e71ea7f27f9b" TargetMode="External"/><Relationship Id="rId77" Type="http://schemas.openxmlformats.org/officeDocument/2006/relationships/hyperlink" Target="https://us-east-1.quicksight.aws.amazon.com/sn/account/mdp-ponal/dashboards/aa8f5fff-e711-4eab-8756-269e2a5ef6fe" TargetMode="External"/><Relationship Id="rId100" Type="http://schemas.openxmlformats.org/officeDocument/2006/relationships/hyperlink" Target="https://us-east-1.quicksight.aws.amazon.com/sn/account/mdp-ponal/analyses/e9e9038d-cd8c-433b-b9bb-bdf484d98ec4" TargetMode="External"/><Relationship Id="rId105" Type="http://schemas.openxmlformats.org/officeDocument/2006/relationships/hyperlink" Target="https://us-east-1.quicksight.aws.amazon.com/sn/account/mdp-ponal/analyses/dd35977f-e560-468c-b4a6-541189610e8f" TargetMode="External"/><Relationship Id="rId126" Type="http://schemas.openxmlformats.org/officeDocument/2006/relationships/hyperlink" Target="https://us-east-1.quicksight.aws.amazon.com/sn/account/mdp-ponal/analyses/903fecde-4667-462d-a1e7-76b79d02c2ec1" TargetMode="External"/><Relationship Id="rId147" Type="http://schemas.openxmlformats.org/officeDocument/2006/relationships/hyperlink" Target="https://us-east-1.quicksight.aws.amazon.com/sn/account/mdp-ponal/analyses/1913cc21-be20-4337-8935-b760c97c4d26" TargetMode="External"/><Relationship Id="rId168" Type="http://schemas.openxmlformats.org/officeDocument/2006/relationships/hyperlink" Target="https://us-east-1.quicksight.aws.amazon.com/sn/account/mdp-ponal/analyses/64f7bde1-b079-49fb-8084-03fbc79841fc" TargetMode="External"/><Relationship Id="rId8" Type="http://schemas.openxmlformats.org/officeDocument/2006/relationships/hyperlink" Target="https://us-east-1.quicksight.aws.amazon.com/sn/account/mdp-ponal/dashboards/e35a4fa7-7276-41e3-b6ce-09fd7effa0c7" TargetMode="External"/><Relationship Id="rId51" Type="http://schemas.openxmlformats.org/officeDocument/2006/relationships/hyperlink" Target="https://us-east-1.quicksight.aws.amazon.com/sn/account/mdp-ponal/dashboards/62eb0032-6842-48b2-84af-8c960e79849f" TargetMode="External"/><Relationship Id="rId72" Type="http://schemas.openxmlformats.org/officeDocument/2006/relationships/hyperlink" Target="https://us-east-1.quicksight.aws.amazon.com/sn/account/mdp-ponal/dashboards/beb5439d-f93b-4756-879b-59db3bcbc75e" TargetMode="External"/><Relationship Id="rId93" Type="http://schemas.openxmlformats.org/officeDocument/2006/relationships/hyperlink" Target="https://us-east-1.quicksight.aws.amazon.com/sn/account/mdp-ponal/dashboards/7200be65-3bbd-486b-9f43-ceffa85d7a5d" TargetMode="External"/><Relationship Id="rId98" Type="http://schemas.openxmlformats.org/officeDocument/2006/relationships/hyperlink" Target="https://us-east-1.quicksight.aws.amazon.com/sn/account/mdp-ponal/analyses/97255ec4-0860-4498-864b-8f1e331285e9" TargetMode="External"/><Relationship Id="rId121" Type="http://schemas.openxmlformats.org/officeDocument/2006/relationships/hyperlink" Target="https://us-east-1.quicksight.aws.amazon.com/sn/account/mdp-ponal/analyses/8af667ce-e71f-4ce7-8a07-86a6818d4101" TargetMode="External"/><Relationship Id="rId142" Type="http://schemas.openxmlformats.org/officeDocument/2006/relationships/hyperlink" Target="https://us-east-1.quicksight.aws.amazon.com/sn/account/mdp-ponal/analyses/dd35977f-e560-468c-b4a6-541189610e8f" TargetMode="External"/><Relationship Id="rId163" Type="http://schemas.openxmlformats.org/officeDocument/2006/relationships/hyperlink" Target="https://us-east-1.quicksight.aws.amazon.com/sn/account/mdp-ponal/analyses/aeaf7d1d-ca1a-49f9-a0a5-b144cd69aa9d" TargetMode="External"/><Relationship Id="rId3" Type="http://schemas.openxmlformats.org/officeDocument/2006/relationships/hyperlink" Target="https://us-east-1.quicksight.aws.amazon.com/sn/account/mdp-ponal/dashboards/d3efbe19-bed1-45b3-9d46-779b85741700" TargetMode="External"/><Relationship Id="rId25" Type="http://schemas.openxmlformats.org/officeDocument/2006/relationships/hyperlink" Target="https://us-east-1.quicksight.aws.amazon.com/sn/account/mdp-ponal/dashboards/0ab57285-f863-486a-9164-92fb29aae456" TargetMode="External"/><Relationship Id="rId46" Type="http://schemas.openxmlformats.org/officeDocument/2006/relationships/hyperlink" Target="https://us-east-1.quicksight.aws.amazon.com/sn/account/mdp-ponal/dashboards/45bc393a-09ce-4779-a641-4fca895c0864" TargetMode="External"/><Relationship Id="rId67" Type="http://schemas.openxmlformats.org/officeDocument/2006/relationships/hyperlink" Target="https://us-east-1.quicksight.aws.amazon.com/sn/account/mdp-ponal/dashboards/c5162f42-19fe-4481-9f18-d041c1de13bf" TargetMode="External"/><Relationship Id="rId116" Type="http://schemas.openxmlformats.org/officeDocument/2006/relationships/hyperlink" Target="https://us-east-1.quicksight.aws.amazon.com/sn/account/mdp-ponal/analyses/f22c1d89-723d-42b3-94b2-a6f5b977eb29" TargetMode="External"/><Relationship Id="rId137" Type="http://schemas.openxmlformats.org/officeDocument/2006/relationships/hyperlink" Target="https://us-east-1.quicksight.aws.amazon.com/sn/account/mdp-ponal/analyses/c88e2784-ca51-4c63-98bf-a3b42067ad8a" TargetMode="External"/><Relationship Id="rId158" Type="http://schemas.openxmlformats.org/officeDocument/2006/relationships/hyperlink" Target="https://us-east-1.quicksight.aws.amazon.com/sn/account/mdp-ponal/analyses/a40a23da-a102-455c-9546-a8db418857bc" TargetMode="External"/><Relationship Id="rId20" Type="http://schemas.openxmlformats.org/officeDocument/2006/relationships/hyperlink" Target="https://us-east-1.quicksight.aws.amazon.com/sn/account/mdp-ponal/dashboards/fee54fc6-5c81-47fb-86a4-d5bca2a0521e" TargetMode="External"/><Relationship Id="rId41" Type="http://schemas.openxmlformats.org/officeDocument/2006/relationships/hyperlink" Target="https://us-east-1.quicksight.aws.amazon.com/sn/account/mdp-ponal/dashboards/3cdb67b1-bf2c-40b8-ba50-617c99d920bc" TargetMode="External"/><Relationship Id="rId62" Type="http://schemas.openxmlformats.org/officeDocument/2006/relationships/hyperlink" Target="https://us-east-1.quicksight.aws.amazon.com/sn/account/mdp-ponal/dashboards/cb3a75bc-cb06-4222-a989-34a52288703b" TargetMode="External"/><Relationship Id="rId83" Type="http://schemas.openxmlformats.org/officeDocument/2006/relationships/hyperlink" Target="https://us-east-1.quicksight.aws.amazon.com/sn/account/mdp-ponal/dashboards/95437b38-4206-49db-afac-5daf763a49eb" TargetMode="External"/><Relationship Id="rId88" Type="http://schemas.openxmlformats.org/officeDocument/2006/relationships/hyperlink" Target="https://us-east-1.quicksight.aws.amazon.com/sn/account/mdp-ponal/dashboards/6fc385fe-c879-4d88-baff-b64a1ea0f4e6" TargetMode="External"/><Relationship Id="rId111" Type="http://schemas.openxmlformats.org/officeDocument/2006/relationships/hyperlink" Target="https://us-east-1.quicksight.aws.amazon.com/sn/account/mdp-ponal/analyses/79cec02d-1c87-4d2f-9ffa-a536e95f4360" TargetMode="External"/><Relationship Id="rId132" Type="http://schemas.openxmlformats.org/officeDocument/2006/relationships/hyperlink" Target="https://us-east-1.quicksight.aws.amazon.com/sn/account/mdp-ponal/analyses/e220d74a-8329-4ea5-8c23-dac89f5e0152" TargetMode="External"/><Relationship Id="rId153" Type="http://schemas.openxmlformats.org/officeDocument/2006/relationships/hyperlink" Target="https://us-east-1.quicksight.aws.amazon.com/sn/account/mdp-ponal/analyses/fd8ef8ee-7a5a-4252-9ea3-2ef5f6f3562c" TargetMode="External"/><Relationship Id="rId174" Type="http://schemas.openxmlformats.org/officeDocument/2006/relationships/hyperlink" Target="https://us-east-1.quicksight.aws.amazon.com/sn/account/mdp-ponal/data-sets/96d0edeb-5cb9-4b6d-ae5d-d1e1efdee36a/view" TargetMode="External"/><Relationship Id="rId179" Type="http://schemas.openxmlformats.org/officeDocument/2006/relationships/hyperlink" Target="https://us-east-1.quicksight.aws.amazon.com/sn/analyses/382fa305-48e2-412a-b626-52810382cbc7" TargetMode="External"/><Relationship Id="rId15" Type="http://schemas.openxmlformats.org/officeDocument/2006/relationships/hyperlink" Target="https://us-east-1.quicksight.aws.amazon.com/sn/account/mdp-ponal/dashboards/f07731c2-230b-4047-9e82-1c462c7245fc" TargetMode="External"/><Relationship Id="rId36" Type="http://schemas.openxmlformats.org/officeDocument/2006/relationships/hyperlink" Target="https://us-east-1.quicksight.aws.amazon.com/sn/account/mdp-ponal/dashboards/56dc545b-0d13-4545-8e18-b9527670d8bc" TargetMode="External"/><Relationship Id="rId57" Type="http://schemas.openxmlformats.org/officeDocument/2006/relationships/hyperlink" Target="https://us-east-1.quicksight.aws.amazon.com/sn/account/mdp-ponal/dashboards/373f1fdd-51e7-45b7-baa6-996091fa6a6c" TargetMode="External"/><Relationship Id="rId106" Type="http://schemas.openxmlformats.org/officeDocument/2006/relationships/hyperlink" Target="https://us-east-1.quicksight.aws.amazon.com/sn/account/mdp-ponal/analyses/1ac25ad5-f462-4d20-afd6-0f4a7c024651" TargetMode="External"/><Relationship Id="rId127" Type="http://schemas.openxmlformats.org/officeDocument/2006/relationships/hyperlink" Target="https://us-east-1.quicksight.aws.amazon.com/sn/account/mdp-ponal/analyses/104359dc-1413-4bee-a9db-b66225711e0e" TargetMode="External"/><Relationship Id="rId10" Type="http://schemas.openxmlformats.org/officeDocument/2006/relationships/hyperlink" Target="https://us-east-1.quicksight.aws.amazon.com/sn/account/mdp-ponal/dashboards/eb26ab6d-5941-474a-83f5-db4b16c41c0a" TargetMode="External"/><Relationship Id="rId31" Type="http://schemas.openxmlformats.org/officeDocument/2006/relationships/hyperlink" Target="https://us-east-1.quicksight.aws.amazon.com/sn/account/mdp-ponal/dashboards/1dee1c32-3c72-4ba1-84b4-890c377c8464" TargetMode="External"/><Relationship Id="rId52" Type="http://schemas.openxmlformats.org/officeDocument/2006/relationships/hyperlink" Target="https://us-east-1.quicksight.aws.amazon.com/sn/account/mdp-ponal/dashboards/bd6a90f1-8745-4312-8707-05153048c7d3" TargetMode="External"/><Relationship Id="rId73" Type="http://schemas.openxmlformats.org/officeDocument/2006/relationships/hyperlink" Target="https://us-east-1.quicksight.aws.amazon.com/sn/account/mdp-ponal/dashboards/be796502-3275-479f-aae4-6bfcfc45bc12" TargetMode="External"/><Relationship Id="rId78" Type="http://schemas.openxmlformats.org/officeDocument/2006/relationships/hyperlink" Target="https://us-east-1.quicksight.aws.amazon.com/sn/account/mdp-ponal/dashboards/6ac75796-432e-4380-b909-f747ce8ac54d" TargetMode="External"/><Relationship Id="rId94" Type="http://schemas.openxmlformats.org/officeDocument/2006/relationships/hyperlink" Target="https://us-east-1.quicksight.aws.amazon.com/sn/account/mdp-ponal/dashboards/6fd49ae1-8c33-4e31-b1eb-baf36a7c9b23" TargetMode="External"/><Relationship Id="rId99" Type="http://schemas.openxmlformats.org/officeDocument/2006/relationships/hyperlink" Target="https://us-east-1.quicksight.aws.amazon.com/sn/account/mdp-ponal/analyses/1913cc21-be20-4337-8935-b760c97c4d26" TargetMode="External"/><Relationship Id="rId101" Type="http://schemas.openxmlformats.org/officeDocument/2006/relationships/hyperlink" Target="https://us-east-1.quicksight.aws.amazon.com/sn/account/mdp-ponal/analyses/ede1d769-c8f8-4053-aae1-d91d99a91fdc" TargetMode="External"/><Relationship Id="rId122" Type="http://schemas.openxmlformats.org/officeDocument/2006/relationships/hyperlink" Target="https://us-east-1.quicksight.aws.amazon.com/sn/account/mdp-ponal/analyses/5e0c8517-320a-4457-8423-7b842dcf8d18" TargetMode="External"/><Relationship Id="rId143" Type="http://schemas.openxmlformats.org/officeDocument/2006/relationships/hyperlink" Target="https://us-east-1.quicksight.aws.amazon.com/sn/account/mdp-ponal/analyses/1913cc21-be20-4337-8935-b760c97c4d26" TargetMode="External"/><Relationship Id="rId148" Type="http://schemas.openxmlformats.org/officeDocument/2006/relationships/hyperlink" Target="https://us-east-1.quicksight.aws.amazon.com/sn/account/mdp-ponal/analyses/7672ab62-ef51-43b4-a124-eda0f5c3357d" TargetMode="External"/><Relationship Id="rId164" Type="http://schemas.openxmlformats.org/officeDocument/2006/relationships/hyperlink" Target="https://us-east-1.quicksight.aws.amazon.com/sn/account/mdp-ponal/analyses/f785fb1d-a690-427a-893d-ce29d7c289fd" TargetMode="External"/><Relationship Id="rId169" Type="http://schemas.openxmlformats.org/officeDocument/2006/relationships/hyperlink" Target="https://us-east-1.quicksight.aws.amazon.com/sn/account/mdp-ponal/analyses/db6a62d1-2d9d-43b4-814c-f4eb7f17eaf6" TargetMode="External"/><Relationship Id="rId4" Type="http://schemas.openxmlformats.org/officeDocument/2006/relationships/hyperlink" Target="https://us-east-1.quicksight.aws.amazon.com/sn/account/mdp-ponal/dashboards/d9c867f9-6e55-47f9-b782-00ba3fe558c2" TargetMode="External"/><Relationship Id="rId9" Type="http://schemas.openxmlformats.org/officeDocument/2006/relationships/hyperlink" Target="https://us-east-1.quicksight.aws.amazon.com/sn/account/mdp-ponal/dashboards/e6097852-f2fe-4f31-bcc7-13a82f5e10fa" TargetMode="External"/><Relationship Id="rId180" Type="http://schemas.openxmlformats.org/officeDocument/2006/relationships/table" Target="../tables/table4.xml"/><Relationship Id="rId26" Type="http://schemas.openxmlformats.org/officeDocument/2006/relationships/hyperlink" Target="https://us-east-1.quicksight.aws.amazon.com/sn/account/mdp-ponal/dashboards/0e232523-dcdd-433b-bafa-0b382f67103f" TargetMode="External"/><Relationship Id="rId47" Type="http://schemas.openxmlformats.org/officeDocument/2006/relationships/hyperlink" Target="https://us-east-1.quicksight.aws.amazon.com/sn/account/mdp-ponal/dashboards/461ff4ee-1ab5-4509-a0b5-ecfe3b7bd0a8" TargetMode="External"/><Relationship Id="rId68" Type="http://schemas.openxmlformats.org/officeDocument/2006/relationships/hyperlink" Target="https://us-east-1.quicksight.aws.amazon.com/sn/account/mdp-ponal/dashboards/c3932ea4-ef5e-44eb-a3fc-c52bf4d2a001" TargetMode="External"/><Relationship Id="rId89" Type="http://schemas.openxmlformats.org/officeDocument/2006/relationships/hyperlink" Target="https://us-east-1.quicksight.aws.amazon.com/sn/account/mdp-ponal/dashboards/83aa6cae-8d90-48bb-bd2d-387898865023" TargetMode="External"/><Relationship Id="rId112" Type="http://schemas.openxmlformats.org/officeDocument/2006/relationships/hyperlink" Target="https://us-east-1.quicksight.aws.amazon.com/sn/account/mdp-ponal/analyses/b7bdeb3b-a680-44fb-8180-cb3a9a48652b" TargetMode="External"/><Relationship Id="rId133" Type="http://schemas.openxmlformats.org/officeDocument/2006/relationships/hyperlink" Target="https://us-east-1.quicksight.aws.amazon.com/sn/account/mdp-ponal/analyses/c88e2784-ca51-4c63-98bf-a3b42067ad8a" TargetMode="External"/><Relationship Id="rId154" Type="http://schemas.openxmlformats.org/officeDocument/2006/relationships/hyperlink" Target="https://us-east-1.quicksight.aws.amazon.com/sn/account/mdp-ponal/analyses/eed2f6ee-91db-46c4-a9da-fbfed569114a" TargetMode="External"/><Relationship Id="rId175" Type="http://schemas.openxmlformats.org/officeDocument/2006/relationships/hyperlink" Target="https://us-east-1.quicksight.aws.amazon.com/sn/account/mdp-ponal/data-sets/cc8ff60f-cd1f-41bd-9d01-9c68eddb2d8d/view" TargetMode="External"/><Relationship Id="rId16" Type="http://schemas.openxmlformats.org/officeDocument/2006/relationships/hyperlink" Target="https://us-east-1.quicksight.aws.amazon.com/sn/account/mdp-ponal/dashboards/f54ea675-406d-409d-a32b-5282449f7e2a" TargetMode="External"/><Relationship Id="rId37" Type="http://schemas.openxmlformats.org/officeDocument/2006/relationships/hyperlink" Target="https://us-east-1.quicksight.aws.amazon.com/sn/account/mdp-ponal/dashboards/2d360a98-1762-4f56-877c-95ae8f250309" TargetMode="External"/><Relationship Id="rId58" Type="http://schemas.openxmlformats.org/officeDocument/2006/relationships/hyperlink" Target="https://us-east-1.quicksight.aws.amazon.com/sn/account/mdp-ponal/dashboards/58504767-9f45-47e2-849c-c466f9834372" TargetMode="External"/><Relationship Id="rId79" Type="http://schemas.openxmlformats.org/officeDocument/2006/relationships/hyperlink" Target="https://us-east-1.quicksight.aws.amazon.com/sn/account/mdp-ponal/dashboards/a806c9fb-ce9a-4d79-ad2e-0532e03e0194" TargetMode="External"/><Relationship Id="rId102" Type="http://schemas.openxmlformats.org/officeDocument/2006/relationships/hyperlink" Target="https://us-east-1.quicksight.aws.amazon.com/sn/account/mdp-ponal/analyses/c88e2784-ca51-4c63-98bf-a3b42067ad8a" TargetMode="External"/><Relationship Id="rId123" Type="http://schemas.openxmlformats.org/officeDocument/2006/relationships/hyperlink" Target="https://us-east-1.quicksight.aws.amazon.com/sn/account/mdp-ponal/analyses/1ac25ad5-f462-4d20-afd6-0f4a7c024651" TargetMode="External"/><Relationship Id="rId144" Type="http://schemas.openxmlformats.org/officeDocument/2006/relationships/hyperlink" Target="https://us-east-1.quicksight.aws.amazon.com/sn/account/mdp-ponal/analyses/dff42332-0fc3-41e1-a97c-061e29cbc8a7" TargetMode="External"/><Relationship Id="rId90" Type="http://schemas.openxmlformats.org/officeDocument/2006/relationships/hyperlink" Target="https://us-east-1.quicksight.aws.amazon.com/sn/account/mdp-ponal/dashboards/8242646e-f0ce-44c7-b780-3f138491143e" TargetMode="External"/><Relationship Id="rId165" Type="http://schemas.openxmlformats.org/officeDocument/2006/relationships/hyperlink" Target="https://us-east-1.quicksight.aws.amazon.com/sn/account/mdp-ponal/analyses/3db09523-982b-4699-9124-90a891e2d495" TargetMode="External"/><Relationship Id="rId27" Type="http://schemas.openxmlformats.org/officeDocument/2006/relationships/hyperlink" Target="https://us-east-1.quicksight.aws.amazon.com/sn/account/mdp-ponal/dashboards/129ac44a-4d7e-4a45-8764-ac26e43b9f77" TargetMode="External"/><Relationship Id="rId48" Type="http://schemas.openxmlformats.org/officeDocument/2006/relationships/hyperlink" Target="https://us-east-1.quicksight.aws.amazon.com/sn/account/mdp-ponal/dashboards/5c257ab6-b97c-4a5d-b68e-0589fb29c08a" TargetMode="External"/><Relationship Id="rId69" Type="http://schemas.openxmlformats.org/officeDocument/2006/relationships/hyperlink" Target="https://us-east-1.quicksight.aws.amazon.com/sn/account/mdp-ponal/dashboards/bfc7ed70-6dbe-4d31-866a-641bdca015ce" TargetMode="External"/><Relationship Id="rId113" Type="http://schemas.openxmlformats.org/officeDocument/2006/relationships/hyperlink" Target="https://us-east-1.quicksight.aws.amazon.com/sn/account/mdp-ponal/analyses/810198d1-55d3-4cd1-9136-e522707b1094" TargetMode="External"/><Relationship Id="rId134" Type="http://schemas.openxmlformats.org/officeDocument/2006/relationships/hyperlink" Target="https://us-east-1.quicksight.aws.amazon.com/sn/account/mdp-ponal/analyses/71539772-349a-410c-9b80-4afbbc210f38" TargetMode="External"/><Relationship Id="rId80" Type="http://schemas.openxmlformats.org/officeDocument/2006/relationships/hyperlink" Target="https://us-east-1.quicksight.aws.amazon.com/sn/account/mdp-ponal/dashboards/96913d99-85db-4697-8e1f-5f9028a6dad8" TargetMode="External"/><Relationship Id="rId155" Type="http://schemas.openxmlformats.org/officeDocument/2006/relationships/hyperlink" Target="https://us-east-1.quicksight.aws.amazon.com/sn/account/mdp-ponal/analyses/c88e2784-ca51-4c63-98bf-a3b42067ad8a" TargetMode="External"/><Relationship Id="rId176" Type="http://schemas.openxmlformats.org/officeDocument/2006/relationships/hyperlink" Target="https://us-east-1.quicksight.aws.amazon.com/sn/account/mdp-ponal/data-sets/32da3479-5ea3-437c-998f-b9aec7587f9f/view" TargetMode="External"/><Relationship Id="rId17" Type="http://schemas.openxmlformats.org/officeDocument/2006/relationships/hyperlink" Target="https://us-east-1.quicksight.aws.amazon.com/sn/account/mdp-ponal/dashboards/f738f147-9f47-47c8-94eb-caea17e055d2" TargetMode="External"/><Relationship Id="rId38" Type="http://schemas.openxmlformats.org/officeDocument/2006/relationships/hyperlink" Target="https://us-east-1.quicksight.aws.amazon.com/sn/account/mdp-ponal/dashboards/3180434f-bfbf-4a12-8f16-374157e6ec3d" TargetMode="External"/><Relationship Id="rId59" Type="http://schemas.openxmlformats.org/officeDocument/2006/relationships/hyperlink" Target="https://us-east-1.quicksight.aws.amazon.com/sn/account/mdp-ponal/dashboards/58790302-cd92-4fdc-b3e4-4cfc9c496ad4" TargetMode="External"/><Relationship Id="rId103" Type="http://schemas.openxmlformats.org/officeDocument/2006/relationships/hyperlink" Target="https://us-east-1.quicksight.aws.amazon.com/sn/account/mdp-ponal/analyses/e9e9038d-cd8c-433b-b9bb-bdf484d98ec4" TargetMode="External"/><Relationship Id="rId124" Type="http://schemas.openxmlformats.org/officeDocument/2006/relationships/hyperlink" Target="https://us-east-1.quicksight.aws.amazon.com/sn/account/mdp-ponal/analyses/c25d27e0-05fe-43e8-a8ca-4aa823dafb84" TargetMode="External"/><Relationship Id="rId70" Type="http://schemas.openxmlformats.org/officeDocument/2006/relationships/hyperlink" Target="https://us-east-1.quicksight.aws.amazon.com/sn/account/mdp-ponal/dashboards/69e5398e-f7ee-451c-916c-b2d699cd143b" TargetMode="External"/><Relationship Id="rId91" Type="http://schemas.openxmlformats.org/officeDocument/2006/relationships/hyperlink" Target="https://us-east-1.quicksight.aws.amazon.com/sn/account/mdp-ponal/dashboards/7e6477cf-199c-4127-b9e1-39e43850cb97" TargetMode="External"/><Relationship Id="rId145" Type="http://schemas.openxmlformats.org/officeDocument/2006/relationships/hyperlink" Target="https://us-east-1.quicksight.aws.amazon.com/sn/account/mdp-ponal/analyses/c88e2784-ca51-4c63-98bf-a3b42067ad8a" TargetMode="External"/><Relationship Id="rId166" Type="http://schemas.openxmlformats.org/officeDocument/2006/relationships/hyperlink" Target="https://us-east-1.quicksight.aws.amazon.com/sn/account/mdp-ponal/analyses/451d97fa-7874-42ac-bd86-631d92bb6ac2" TargetMode="External"/><Relationship Id="rId1" Type="http://schemas.openxmlformats.org/officeDocument/2006/relationships/hyperlink" Target="https://us-east-1.quicksight.aws.amazon.com/sn/account/mdp-ponal/dashboards/ccde979b-7f8b-422a-9bd1-c62a6e768437" TargetMode="External"/><Relationship Id="rId28" Type="http://schemas.openxmlformats.org/officeDocument/2006/relationships/hyperlink" Target="https://us-east-1.quicksight.aws.amazon.com/sn/account/mdp-ponal/dashboards/15a2ecdd-ff40-4ce3-8646-37b3a84f2533" TargetMode="External"/><Relationship Id="rId49" Type="http://schemas.openxmlformats.org/officeDocument/2006/relationships/hyperlink" Target="https://us-east-1.quicksight.aws.amazon.com/sn/account/mdp-ponal/dashboards/46b6257f-b090-4de8-a2bf-0c44704df200" TargetMode="External"/><Relationship Id="rId114" Type="http://schemas.openxmlformats.org/officeDocument/2006/relationships/hyperlink" Target="https://us-east-1.quicksight.aws.amazon.com/sn/account/mdp-ponal/analyses/c245c7ac-ee10-40cd-b4a7-e1e1c4b58705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-east-1.quicksight.aws.amazon.com/sn/analyses/2186c278-7360-4e86-88b2-18cea2b40888" TargetMode="External"/><Relationship Id="rId21" Type="http://schemas.openxmlformats.org/officeDocument/2006/relationships/hyperlink" Target="https://us-east-1.quicksight.aws.amazon.com/sn/analyses/07222feb-9dff-408b-a39a-d335527fb7df" TargetMode="External"/><Relationship Id="rId42" Type="http://schemas.openxmlformats.org/officeDocument/2006/relationships/hyperlink" Target="https://us-east-1.quicksight.aws.amazon.com/sn/analyses/019969af-7fcb-4d74-995f-c92df4fe505a" TargetMode="External"/><Relationship Id="rId63" Type="http://schemas.openxmlformats.org/officeDocument/2006/relationships/hyperlink" Target="https://us-east-1.quicksight.aws.amazon.com/sn/analyses/0ef918e7-827d-439e-af6a-089104e27884" TargetMode="External"/><Relationship Id="rId84" Type="http://schemas.openxmlformats.org/officeDocument/2006/relationships/hyperlink" Target="https://us-east-1.quicksight.aws.amazon.com/sn/analyses/1ac25ad5-f462-4d20-afd6-0f4a7c024651" TargetMode="External"/><Relationship Id="rId138" Type="http://schemas.openxmlformats.org/officeDocument/2006/relationships/hyperlink" Target="https://us-east-1.quicksight.aws.amazon.com/sn/analyses/59f3ed25-acf4-4fec-baf1-962ffbc16bd7" TargetMode="External"/><Relationship Id="rId107" Type="http://schemas.openxmlformats.org/officeDocument/2006/relationships/hyperlink" Target="https://us-east-1.quicksight.aws.amazon.com/sn/account/mdp-ponal/analyses/9587e006-7c42-4d50-a5a1-4bc1624fcf12" TargetMode="External"/><Relationship Id="rId11" Type="http://schemas.openxmlformats.org/officeDocument/2006/relationships/hyperlink" Target="https://us-east-1.quicksight.aws.amazon.com/sn/account/mdp-ponal/analyses/c88e2784-ca51-4c63-98bf-a3b42067ad8a" TargetMode="External"/><Relationship Id="rId32" Type="http://schemas.openxmlformats.org/officeDocument/2006/relationships/hyperlink" Target="https://us-east-1.quicksight.aws.amazon.com/sn/account/mdp-ponal/analyses/8af667ce-e71f-4ce7-8a07-86a6818d4101" TargetMode="External"/><Relationship Id="rId53" Type="http://schemas.openxmlformats.org/officeDocument/2006/relationships/hyperlink" Target="https://us-east-1.quicksight.aws.amazon.com/sn/analyses/09296b9e-0f63-4fc9-bcbf-e186d6eb505b" TargetMode="External"/><Relationship Id="rId74" Type="http://schemas.openxmlformats.org/officeDocument/2006/relationships/hyperlink" Target="https://us-east-1.quicksight.aws.amazon.com/sn/account/mdp-ponal/analyses/5069ec60-feef-421f-841f-586169028e89" TargetMode="External"/><Relationship Id="rId128" Type="http://schemas.openxmlformats.org/officeDocument/2006/relationships/hyperlink" Target="https://us-east-1.quicksight.aws.amazon.com/sn/analyses/3132e971-90c1-4a8c-ace1-f346381ed3ae" TargetMode="External"/><Relationship Id="rId149" Type="http://schemas.openxmlformats.org/officeDocument/2006/relationships/hyperlink" Target="https://us-east-1.quicksight.aws.amazon.com/sn/analyses/79cec02d-1c87-4d2f-9ffa-a536e95f4360" TargetMode="External"/><Relationship Id="rId5" Type="http://schemas.openxmlformats.org/officeDocument/2006/relationships/hyperlink" Target="https://us-east-1.quicksight.aws.amazon.com/sn/account/mdp-ponal/analyses/b2d24bed-3501-4640-b6a8-7b642803dc2b" TargetMode="External"/><Relationship Id="rId95" Type="http://schemas.openxmlformats.org/officeDocument/2006/relationships/hyperlink" Target="https://us-east-1.quicksight.aws.amazon.com/sn/account/mdp-ponal/analyses/c15c7f24-2d73-410d-b6a5-48747df16403" TargetMode="External"/><Relationship Id="rId22" Type="http://schemas.openxmlformats.org/officeDocument/2006/relationships/hyperlink" Target="https://us-east-1.quicksight.aws.amazon.com/sn/account/mdp-ponal/analyses/ede1d769-c8f8-4053-aae1-d91d99a91fdc" TargetMode="External"/><Relationship Id="rId27" Type="http://schemas.openxmlformats.org/officeDocument/2006/relationships/hyperlink" Target="https://us-east-1.quicksight.aws.amazon.com/sn/account/mdp-ponal/analyses/d1cd36ae-8305-4ebe-9047-48b70f35ccbe" TargetMode="External"/><Relationship Id="rId43" Type="http://schemas.openxmlformats.org/officeDocument/2006/relationships/hyperlink" Target="https://us-east-1.quicksight.aws.amazon.com/sn/analyses/01817696-f389-4457-95aa-c5419e5e5a72" TargetMode="External"/><Relationship Id="rId48" Type="http://schemas.openxmlformats.org/officeDocument/2006/relationships/hyperlink" Target="https://us-east-1.quicksight.aws.amazon.com/sn/analyses/06e234e5-dd7b-45cb-92f7-bdf3db131051" TargetMode="External"/><Relationship Id="rId64" Type="http://schemas.openxmlformats.org/officeDocument/2006/relationships/hyperlink" Target="https://us-east-1.quicksight.aws.amazon.com/sn/analyses/0f9472f2-d0de-4a99-a073-0571819badc7" TargetMode="External"/><Relationship Id="rId69" Type="http://schemas.openxmlformats.org/officeDocument/2006/relationships/hyperlink" Target="https://us-east-1.quicksight.aws.amazon.com/sn/analyses/15a96e96-8c73-459e-8473-35a4009af7dd" TargetMode="External"/><Relationship Id="rId113" Type="http://schemas.openxmlformats.org/officeDocument/2006/relationships/hyperlink" Target="https://us-east-1.quicksight.aws.amazon.com/sn/account/mdp-ponal/analyses/6791947b-16d7-46e7-9111-c30a05110e0b" TargetMode="External"/><Relationship Id="rId118" Type="http://schemas.openxmlformats.org/officeDocument/2006/relationships/hyperlink" Target="https://us-east-1.quicksight.aws.amazon.com/sn/analyses/2192c273-92e8-49d8-9457-76d5fecf7ac8" TargetMode="External"/><Relationship Id="rId134" Type="http://schemas.openxmlformats.org/officeDocument/2006/relationships/hyperlink" Target="https://us-east-1.quicksight.aws.amazon.com/sn/analyses/4d41a3d1-6372-404b-b802-52a213620807" TargetMode="External"/><Relationship Id="rId139" Type="http://schemas.openxmlformats.org/officeDocument/2006/relationships/hyperlink" Target="https://us-east-1.quicksight.aws.amazon.com/sn/analyses/67d59c25-1e63-441f-b473-54a7c717723a" TargetMode="External"/><Relationship Id="rId80" Type="http://schemas.openxmlformats.org/officeDocument/2006/relationships/hyperlink" Target="https://us-east-1.quicksight.aws.amazon.com/sn/account/mdp-ponal/analyses/394cd560-8036-496c-b955-af34ba29778d" TargetMode="External"/><Relationship Id="rId85" Type="http://schemas.openxmlformats.org/officeDocument/2006/relationships/hyperlink" Target="https://us-east-1.quicksight.aws.amazon.com/sn/analyses/1af4a670-776c-4c13-8c85-d929aedb7f46" TargetMode="External"/><Relationship Id="rId150" Type="http://schemas.openxmlformats.org/officeDocument/2006/relationships/hyperlink" Target="https://us-east-1.quicksight.aws.amazon.com/sn/analyses/7423c540-06c8-4478-9466-8d7a00d3d434" TargetMode="External"/><Relationship Id="rId155" Type="http://schemas.microsoft.com/office/2019/04/relationships/namedSheetView" Target="../namedSheetViews/namedSheetView2.xml"/><Relationship Id="rId12" Type="http://schemas.openxmlformats.org/officeDocument/2006/relationships/hyperlink" Target="https://us-east-1.quicksight.aws.amazon.com/sn/account/mdp-ponal/analyses/98d3036a-ea39-4692-9e28-565d6a8263c2" TargetMode="External"/><Relationship Id="rId17" Type="http://schemas.openxmlformats.org/officeDocument/2006/relationships/hyperlink" Target="https://us-east-1.quicksight.aws.amazon.com/sn/account/mdp-ponal/analyses/b378d703-661d-41d1-82dd-5b9f40051314" TargetMode="External"/><Relationship Id="rId33" Type="http://schemas.openxmlformats.org/officeDocument/2006/relationships/hyperlink" Target="https://us-east-1.quicksight.aws.amazon.com/sn/account/mdp-ponal/analyses/7f9bd137-7c90-4e36-a3ea-f9c1de1ea35b" TargetMode="External"/><Relationship Id="rId38" Type="http://schemas.openxmlformats.org/officeDocument/2006/relationships/hyperlink" Target="https://us-east-1.quicksight.aws.amazon.com/sn/account/mdp-ponal/analyses/451d97fa-7874-42ac-bd86-631d92bb6ac2" TargetMode="External"/><Relationship Id="rId59" Type="http://schemas.openxmlformats.org/officeDocument/2006/relationships/hyperlink" Target="https://us-east-1.quicksight.aws.amazon.com/sn/analyses/0d11074a-ea96-4547-88e7-afabdc7a817c" TargetMode="External"/><Relationship Id="rId103" Type="http://schemas.openxmlformats.org/officeDocument/2006/relationships/hyperlink" Target="https://us-east-1.quicksight.aws.amazon.com/sn/analyses/1e0939c9-481d-4012-8e9a-b545f3adb91d" TargetMode="External"/><Relationship Id="rId108" Type="http://schemas.openxmlformats.org/officeDocument/2006/relationships/hyperlink" Target="https://us-east-1.quicksight.aws.amazon.com/sn/account/mdp-ponal/analyses/95341cde-6a5e-4213-a788-5fa0e8fe1a2f" TargetMode="External"/><Relationship Id="rId124" Type="http://schemas.openxmlformats.org/officeDocument/2006/relationships/hyperlink" Target="https://us-east-1.quicksight.aws.amazon.com/sn/analyses/2736de63-f9ff-4ccd-bda8-076ae063a44d" TargetMode="External"/><Relationship Id="rId129" Type="http://schemas.openxmlformats.org/officeDocument/2006/relationships/hyperlink" Target="https://us-east-1.quicksight.aws.amazon.com/sn/analyses/336077a7-c3cc-4804-b7ac-425cf38aee40" TargetMode="External"/><Relationship Id="rId54" Type="http://schemas.openxmlformats.org/officeDocument/2006/relationships/hyperlink" Target="https://us-east-1.quicksight.aws.amazon.com/sn/analyses/092abb3f-d986-4f88-872b-61e4a3666b96" TargetMode="External"/><Relationship Id="rId70" Type="http://schemas.openxmlformats.org/officeDocument/2006/relationships/hyperlink" Target="https://us-east-1.quicksight.aws.amazon.com/sn/analyses/166e60ed-bf4d-41ec-a0bd-e21a21e4e23d" TargetMode="External"/><Relationship Id="rId75" Type="http://schemas.openxmlformats.org/officeDocument/2006/relationships/hyperlink" Target="https://us-east-1.quicksight.aws.amazon.com/sn/analyses/18bc00ce-9141-4502-919d-fe948dffc01d" TargetMode="External"/><Relationship Id="rId91" Type="http://schemas.openxmlformats.org/officeDocument/2006/relationships/hyperlink" Target="https://us-east-1.quicksight.aws.amazon.com/sn/account/mdp-ponal/analyses/ea2233e6-8d1d-4def-a9e2-dc2b9a094f75" TargetMode="External"/><Relationship Id="rId96" Type="http://schemas.openxmlformats.org/officeDocument/2006/relationships/hyperlink" Target="https://us-east-1.quicksight.aws.amazon.com/sn/account/mdp-ponal/analyses/ba66ea52-b077-4a8d-b627-e4e28990ec07" TargetMode="External"/><Relationship Id="rId140" Type="http://schemas.openxmlformats.org/officeDocument/2006/relationships/hyperlink" Target="https://us-east-1.quicksight.aws.amazon.com/sn/analyses/72f0c3d7-deac-4ecd-84d1-9a271dabc9a8" TargetMode="External"/><Relationship Id="rId145" Type="http://schemas.openxmlformats.org/officeDocument/2006/relationships/hyperlink" Target="https://us-east-1.quicksight.aws.amazon.com/sn/analyses/5e0c8517-320a-4457-8423-7b842dcf8d18" TargetMode="External"/><Relationship Id="rId1" Type="http://schemas.openxmlformats.org/officeDocument/2006/relationships/hyperlink" Target="https://us-east-1.quicksight.aws.amazon.com/sn/account/mdp-ponal/analyses/63b06c0a-f407-4ac1-a733-a8ebdfa9c441" TargetMode="External"/><Relationship Id="rId6" Type="http://schemas.openxmlformats.org/officeDocument/2006/relationships/hyperlink" Target="https://us-east-1.quicksight.aws.amazon.com/sn/account/mdp-ponal/analyses/9884218c-7517-45dd-93b0-394e232112fa" TargetMode="External"/><Relationship Id="rId23" Type="http://schemas.openxmlformats.org/officeDocument/2006/relationships/hyperlink" Target="https://us-east-1.quicksight.aws.amazon.com/sn/analyses/07658da9-d757-4f8f-9772-50131d9de9e1" TargetMode="External"/><Relationship Id="rId28" Type="http://schemas.openxmlformats.org/officeDocument/2006/relationships/hyperlink" Target="https://us-east-1.quicksight.aws.amazon.com/sn/account/mdp-ponal/analyses/b9df5324-e64f-4d75-b056-c0d3f4d10f0a" TargetMode="External"/><Relationship Id="rId49" Type="http://schemas.openxmlformats.org/officeDocument/2006/relationships/hyperlink" Target="https://us-east-1.quicksight.aws.amazon.com/sn/analyses/06f353a4-ec26-4956-89a9-c930d4ccde4d" TargetMode="External"/><Relationship Id="rId114" Type="http://schemas.openxmlformats.org/officeDocument/2006/relationships/hyperlink" Target="https://us-east-1.quicksight.aws.amazon.com/sn/account/mdp-ponal/analyses/5fa9f8a6-ac60-48db-b04c-2a48c48bb4a9" TargetMode="External"/><Relationship Id="rId119" Type="http://schemas.openxmlformats.org/officeDocument/2006/relationships/hyperlink" Target="https://us-east-1.quicksight.aws.amazon.com/sn/analyses/21af5185-066b-43ff-b35f-aa5a7b9bfee8" TargetMode="External"/><Relationship Id="rId44" Type="http://schemas.openxmlformats.org/officeDocument/2006/relationships/hyperlink" Target="https://us-east-1.quicksight.aws.amazon.com/sn/analyses/02922c14-a1a2-4f09-a9c9-1cd5a5b8f7fb" TargetMode="External"/><Relationship Id="rId60" Type="http://schemas.openxmlformats.org/officeDocument/2006/relationships/hyperlink" Target="https://us-east-1.quicksight.aws.amazon.com/sn/analyses/0decc18f-735a-4ff5-b5b3-b7c24759ea22" TargetMode="External"/><Relationship Id="rId65" Type="http://schemas.openxmlformats.org/officeDocument/2006/relationships/hyperlink" Target="https://us-east-1.quicksight.aws.amazon.com/sn/analyses/1036b540-0e07-4fed-ae0e-af6a9aa5fa1f" TargetMode="External"/><Relationship Id="rId81" Type="http://schemas.openxmlformats.org/officeDocument/2006/relationships/hyperlink" Target="https://us-east-1.quicksight.aws.amazon.com/sn/analyses/18fdac07-d2cb-4af9-9f4e-34a1e5f67563" TargetMode="External"/><Relationship Id="rId86" Type="http://schemas.openxmlformats.org/officeDocument/2006/relationships/hyperlink" Target="https://us-east-1.quicksight.aws.amazon.com/sn/analyses/1b6fc73f-3559-4a09-aa78-c2d6afcb3d62" TargetMode="External"/><Relationship Id="rId130" Type="http://schemas.openxmlformats.org/officeDocument/2006/relationships/hyperlink" Target="https://us-east-1.quicksight.aws.amazon.com/sn/analyses/f557dbfa-bc80-447c-81ee-815472f81a04" TargetMode="External"/><Relationship Id="rId135" Type="http://schemas.openxmlformats.org/officeDocument/2006/relationships/hyperlink" Target="https://us-east-1.quicksight.aws.amazon.com/sn/analyses/5320ed88-29ef-404b-8c62-9131a81d71e6" TargetMode="External"/><Relationship Id="rId151" Type="http://schemas.openxmlformats.org/officeDocument/2006/relationships/hyperlink" Target="https://us-east-1.quicksight.aws.amazon.com/sn/analyses/4892640a-ae9c-433f-ad24-2867673ec847" TargetMode="External"/><Relationship Id="rId13" Type="http://schemas.openxmlformats.org/officeDocument/2006/relationships/hyperlink" Target="https://us-east-1.quicksight.aws.amazon.com/sn/account/mdp-ponal/analyses/a40a23da-a102-455c-9546-a8db418857bc" TargetMode="External"/><Relationship Id="rId18" Type="http://schemas.openxmlformats.org/officeDocument/2006/relationships/hyperlink" Target="https://us-east-1.quicksight.aws.amazon.com/sn/account/mdp-ponal/analyses/b6c23e38-4647-44d6-a00c-68eb5a173d76" TargetMode="External"/><Relationship Id="rId39" Type="http://schemas.openxmlformats.org/officeDocument/2006/relationships/hyperlink" Target="https://us-east-1.quicksight.aws.amazon.com/sn/account/mdp-ponal/analyses/f785fb1d-a690-427a-893d-ce29d7c289fd" TargetMode="External"/><Relationship Id="rId109" Type="http://schemas.openxmlformats.org/officeDocument/2006/relationships/hyperlink" Target="https://us-east-1.quicksight.aws.amazon.com/sn/account/mdp-ponal/analyses/804a6d69-1f53-48cf-816b-f78277097c77" TargetMode="External"/><Relationship Id="rId34" Type="http://schemas.openxmlformats.org/officeDocument/2006/relationships/hyperlink" Target="https://us-east-1.quicksight.aws.amazon.com/sn/account/mdp-ponal/analyses/64f7bde1-b079-49fb-8084-03fbc79841fc" TargetMode="External"/><Relationship Id="rId50" Type="http://schemas.openxmlformats.org/officeDocument/2006/relationships/hyperlink" Target="https://us-east-1.quicksight.aws.amazon.com/sn/analyses/084dfd4e-38f3-471f-b5ef-128333a175aa" TargetMode="External"/><Relationship Id="rId55" Type="http://schemas.openxmlformats.org/officeDocument/2006/relationships/hyperlink" Target="https://us-east-1.quicksight.aws.amazon.com/sn/analyses/0956d6b3-5c91-4294-ad2c-6a5f6d01bde4" TargetMode="External"/><Relationship Id="rId76" Type="http://schemas.openxmlformats.org/officeDocument/2006/relationships/hyperlink" Target="https://us-east-1.quicksight.aws.amazon.com/sn/account/mdp-ponal/analyses/48e248b6-2432-4ac9-a340-825cb9a6ffd5" TargetMode="External"/><Relationship Id="rId97" Type="http://schemas.openxmlformats.org/officeDocument/2006/relationships/hyperlink" Target="https://us-east-1.quicksight.aws.amazon.com/sn/analyses/1c7f9965-2a8f-408e-b957-7469c511d682" TargetMode="External"/><Relationship Id="rId104" Type="http://schemas.openxmlformats.org/officeDocument/2006/relationships/hyperlink" Target="https://us-east-1.quicksight.aws.amazon.com/sn/account/mdp-ponal/analyses/9c84435e-5680-41f8-85b6-f2de79468ccd" TargetMode="External"/><Relationship Id="rId120" Type="http://schemas.openxmlformats.org/officeDocument/2006/relationships/hyperlink" Target="https://us-east-1.quicksight.aws.amazon.com/sn/analyses/2303e74a-8deb-4b17-8d5f-41527c5d0c9f" TargetMode="External"/><Relationship Id="rId125" Type="http://schemas.openxmlformats.org/officeDocument/2006/relationships/hyperlink" Target="https://us-east-1.quicksight.aws.amazon.com/sn/analyses/282bdc4a-e4af-4446-ad94-7aae1929ae5b" TargetMode="External"/><Relationship Id="rId141" Type="http://schemas.openxmlformats.org/officeDocument/2006/relationships/hyperlink" Target="https://us-east-1.quicksight.aws.amazon.com/sn/analyses/6c41a02c-317d-4498-b84e-2b0da528ceb5" TargetMode="External"/><Relationship Id="rId146" Type="http://schemas.openxmlformats.org/officeDocument/2006/relationships/hyperlink" Target="https://us-east-1.quicksight.aws.amazon.com/sn/analyses/e8fec0f6-1991-42df-bfc8-7c7fc39ae057" TargetMode="External"/><Relationship Id="rId7" Type="http://schemas.openxmlformats.org/officeDocument/2006/relationships/hyperlink" Target="https://us-east-1.quicksight.aws.amazon.com/sn/account/mdp-ponal/analyses/0013c323-265d-4aa4-a17e-16112b86a58c" TargetMode="External"/><Relationship Id="rId71" Type="http://schemas.openxmlformats.org/officeDocument/2006/relationships/hyperlink" Target="https://us-east-1.quicksight.aws.amazon.com/sn/analyses/1676fd2d-f3be-43f2-86ca-3224058c7a3d" TargetMode="External"/><Relationship Id="rId92" Type="http://schemas.openxmlformats.org/officeDocument/2006/relationships/hyperlink" Target="https://us-east-1.quicksight.aws.amazon.com/sn/account/mdp-ponal/analyses/e6710ed2-e1da-47a0-98a9-3ba8752f35f5" TargetMode="External"/><Relationship Id="rId2" Type="http://schemas.openxmlformats.org/officeDocument/2006/relationships/hyperlink" Target="https://us-east-1.quicksight.aws.amazon.com/sn/account/mdp-ponal/analyses/8020101f-3c82-419a-9cf0-7459cec55355" TargetMode="External"/><Relationship Id="rId29" Type="http://schemas.openxmlformats.org/officeDocument/2006/relationships/hyperlink" Target="https://us-east-1.quicksight.aws.amazon.com/sn/account/mdp-ponal/analyses/b5487d70-cd6f-48e9-9453-12863bdb0d9f" TargetMode="External"/><Relationship Id="rId24" Type="http://schemas.openxmlformats.org/officeDocument/2006/relationships/hyperlink" Target="https://us-east-1.quicksight.aws.amazon.com/sn/account/mdp-ponal/analyses/e9e9038d-cd8c-433b-b9bb-bdf484d98ec4" TargetMode="External"/><Relationship Id="rId40" Type="http://schemas.openxmlformats.org/officeDocument/2006/relationships/hyperlink" Target="https://us-east-1.quicksight.aws.amazon.com/sn/account/mdp-ponal/analyses/71539772-349a-410c-9b80-4afbbc210f38" TargetMode="External"/><Relationship Id="rId45" Type="http://schemas.openxmlformats.org/officeDocument/2006/relationships/hyperlink" Target="https://us-east-1.quicksight.aws.amazon.com/sn/analyses/034c6a7e-afd6-4ebd-81c9-5bbf2ac7131e" TargetMode="External"/><Relationship Id="rId66" Type="http://schemas.openxmlformats.org/officeDocument/2006/relationships/hyperlink" Target="https://us-east-1.quicksight.aws.amazon.com/sn/analyses/11a6b086-a7b3-4ebe-a409-8dbfff8838f4" TargetMode="External"/><Relationship Id="rId87" Type="http://schemas.openxmlformats.org/officeDocument/2006/relationships/hyperlink" Target="https://us-east-1.quicksight.aws.amazon.com/sn/account/mdp-ponal/analyses/fee93791-ad46-4ddc-962e-65e666f3a21a" TargetMode="External"/><Relationship Id="rId110" Type="http://schemas.openxmlformats.org/officeDocument/2006/relationships/hyperlink" Target="https://us-east-1.quicksight.aws.amazon.com/sn/account/mdp-ponal/analyses/72983d73-6060-4950-a3cc-3651bc33c0ab" TargetMode="External"/><Relationship Id="rId115" Type="http://schemas.openxmlformats.org/officeDocument/2006/relationships/hyperlink" Target="https://us-east-1.quicksight.aws.amazon.com/sn/account/mdp-ponal/analyses/5c3162ad-4593-42be-b536-ee12813e0795" TargetMode="External"/><Relationship Id="rId131" Type="http://schemas.openxmlformats.org/officeDocument/2006/relationships/hyperlink" Target="https://us-east-1.quicksight.aws.amazon.com/sn/analyses/4c18616d-0cc4-4f3a-824a-d64e0aa68fe2" TargetMode="External"/><Relationship Id="rId136" Type="http://schemas.openxmlformats.org/officeDocument/2006/relationships/hyperlink" Target="https://us-east-1.quicksight.aws.amazon.com/sn/analyses/55007a9a-917b-4604-a118-ece737468ab2" TargetMode="External"/><Relationship Id="rId61" Type="http://schemas.openxmlformats.org/officeDocument/2006/relationships/hyperlink" Target="https://us-east-1.quicksight.aws.amazon.com/sn/analyses/0e7df998-bffc-45f9-924d-4f3a89d70d07" TargetMode="External"/><Relationship Id="rId82" Type="http://schemas.openxmlformats.org/officeDocument/2006/relationships/hyperlink" Target="https://us-east-1.quicksight.aws.amazon.com/sn/account/mdp-ponal/analyses/22e53ae0-f432-488b-92c5-72bd9ed2c02d" TargetMode="External"/><Relationship Id="rId152" Type="http://schemas.openxmlformats.org/officeDocument/2006/relationships/hyperlink" Target="https://us-east-1.quicksight.aws.amazon.com/sn/analyses/382fa305-48e2-412a-b626-52810382cbc7" TargetMode="External"/><Relationship Id="rId19" Type="http://schemas.openxmlformats.org/officeDocument/2006/relationships/hyperlink" Target="https://us-east-1.quicksight.aws.amazon.com/sn/account/mdp-ponal/analyses/aeaf7d1d-ca1a-49f9-a0a5-b144cd69aa9d" TargetMode="External"/><Relationship Id="rId14" Type="http://schemas.openxmlformats.org/officeDocument/2006/relationships/hyperlink" Target="https://us-east-1.quicksight.aws.amazon.com/sn/account/mdp-ponal/analyses/dff42332-0fc3-41e1-a97c-061e29cbc8a7" TargetMode="External"/><Relationship Id="rId30" Type="http://schemas.openxmlformats.org/officeDocument/2006/relationships/hyperlink" Target="https://us-east-1.quicksight.aws.amazon.com/sn/analyses/1913cc21-be20-4337-8935-b760c97c4d26" TargetMode="External"/><Relationship Id="rId35" Type="http://schemas.openxmlformats.org/officeDocument/2006/relationships/hyperlink" Target="https://us-east-1.quicksight.aws.amazon.com/sn/account/mdp-ponal/analyses/53256f6b-e7f8-4e5c-a6b3-e9ec4a173ebb" TargetMode="External"/><Relationship Id="rId56" Type="http://schemas.openxmlformats.org/officeDocument/2006/relationships/hyperlink" Target="https://us-east-1.quicksight.aws.amazon.com/sn/analyses/09b15baa-7346-4161-8001-8a73334c3ff3" TargetMode="External"/><Relationship Id="rId77" Type="http://schemas.openxmlformats.org/officeDocument/2006/relationships/hyperlink" Target="https://us-east-1.quicksight.aws.amazon.com/sn/account/mdp-ponal/analyses/47356a9e-698a-4987-b617-8c1ee41d472a" TargetMode="External"/><Relationship Id="rId100" Type="http://schemas.openxmlformats.org/officeDocument/2006/relationships/hyperlink" Target="https://us-east-1.quicksight.aws.amazon.com/sn/account/mdp-ponal/analyses/ab790eda-c7b5-48ed-a4e1-9fa13e8ef6db" TargetMode="External"/><Relationship Id="rId105" Type="http://schemas.openxmlformats.org/officeDocument/2006/relationships/hyperlink" Target="https://us-east-1.quicksight.aws.amazon.com/sn/account/mdp-ponal/analyses/971a7936-f6b0-4cf8-bc0d-a850613afac3" TargetMode="External"/><Relationship Id="rId126" Type="http://schemas.openxmlformats.org/officeDocument/2006/relationships/hyperlink" Target="https://us-east-1.quicksight.aws.amazon.com/sn/analyses/2b4e044c-9460-461c-90e6-6f2f34a7e2ff" TargetMode="External"/><Relationship Id="rId147" Type="http://schemas.openxmlformats.org/officeDocument/2006/relationships/hyperlink" Target="https://us-east-1.quicksight.aws.amazon.com/sn/analyses/c25d27e0-05fe-43e8-a8ca-4aa823dafb84" TargetMode="External"/><Relationship Id="rId8" Type="http://schemas.openxmlformats.org/officeDocument/2006/relationships/hyperlink" Target="https://us-east-1.quicksight.aws.amazon.com/sn/account/mdp-ponal/analyses/5a17d77e-0fcb-4ec5-a37e-806ff11be56b" TargetMode="External"/><Relationship Id="rId51" Type="http://schemas.openxmlformats.org/officeDocument/2006/relationships/hyperlink" Target="https://us-east-1.quicksight.aws.amazon.com/sn/analyses/08a51e2a-1aab-4b87-b9d1-2eeddece8cec" TargetMode="External"/><Relationship Id="rId72" Type="http://schemas.openxmlformats.org/officeDocument/2006/relationships/hyperlink" Target="https://us-east-1.quicksight.aws.amazon.com/sn/account/mdp-ponal/analyses/monitoreo-certificaciones-iapol-v2" TargetMode="External"/><Relationship Id="rId93" Type="http://schemas.openxmlformats.org/officeDocument/2006/relationships/hyperlink" Target="https://us-east-1.quicksight.aws.amazon.com/sn/account/mdp-ponal/analyses/d75b478f-09e2-4767-b338-2f6e341c6b05" TargetMode="External"/><Relationship Id="rId98" Type="http://schemas.openxmlformats.org/officeDocument/2006/relationships/hyperlink" Target="https://us-east-1.quicksight.aws.amazon.com/sn/account/mdp-ponal/analyses/b11421d6-a729-466d-a772-bd10aaadf2c5" TargetMode="External"/><Relationship Id="rId121" Type="http://schemas.openxmlformats.org/officeDocument/2006/relationships/hyperlink" Target="https://us-east-1.quicksight.aws.amazon.com/sn/analyses/246d3d10-f846-4144-b3f9-0da3e7aa2f94" TargetMode="External"/><Relationship Id="rId142" Type="http://schemas.openxmlformats.org/officeDocument/2006/relationships/hyperlink" Target="https://us-east-1.quicksight.aws.amazon.com/sn/analyses/7227e305-4023-4fe6-84fd-79d51749ccb3" TargetMode="External"/><Relationship Id="rId3" Type="http://schemas.openxmlformats.org/officeDocument/2006/relationships/hyperlink" Target="https://us-east-1.quicksight.aws.amazon.com/sn/account/mdp-ponal/analyses/346f98eb-bb89-401b-b1b0-59ec0e1d53ea" TargetMode="External"/><Relationship Id="rId25" Type="http://schemas.openxmlformats.org/officeDocument/2006/relationships/hyperlink" Target="https://us-east-1.quicksight.aws.amazon.com/sn/account/mdp-ponal/analyses/db6a62d1-2d9d-43b4-814c-f4eb7f17eaf6" TargetMode="External"/><Relationship Id="rId46" Type="http://schemas.openxmlformats.org/officeDocument/2006/relationships/hyperlink" Target="https://us-east-1.quicksight.aws.amazon.com/sn/analyses/06552125-60ec-4e1d-82a1-1907ddbad3af" TargetMode="External"/><Relationship Id="rId67" Type="http://schemas.openxmlformats.org/officeDocument/2006/relationships/hyperlink" Target="https://us-east-1.quicksight.aws.amazon.com/sn/analyses/141dffa7-fff9-4def-bc83-beff7284e53c" TargetMode="External"/><Relationship Id="rId116" Type="http://schemas.openxmlformats.org/officeDocument/2006/relationships/hyperlink" Target="https://us-east-1.quicksight.aws.amazon.com/sn/analyses/1eca767a-5443-4cc4-b743-fa508d07d235" TargetMode="External"/><Relationship Id="rId137" Type="http://schemas.openxmlformats.org/officeDocument/2006/relationships/hyperlink" Target="https://us-east-1.quicksight.aws.amazon.com/sn/analyses/58fb04b1-fc00-4615-864e-ea2676f203ba" TargetMode="External"/><Relationship Id="rId20" Type="http://schemas.openxmlformats.org/officeDocument/2006/relationships/hyperlink" Target="https://us-east-1.quicksight.aws.amazon.com/sn/analyses/00f1ad15-28d8-4198-88ed-89fe41271fa7" TargetMode="External"/><Relationship Id="rId41" Type="http://schemas.openxmlformats.org/officeDocument/2006/relationships/hyperlink" Target="https://us-east-1.quicksight.aws.amazon.com/sn/analyses/00f59ae6-b754-4b11-adb0-4604a46806ed" TargetMode="External"/><Relationship Id="rId62" Type="http://schemas.openxmlformats.org/officeDocument/2006/relationships/hyperlink" Target="https://us-east-1.quicksight.aws.amazon.com/sn/analyses/0eee7491-b475-4c34-bcd5-23add04f7f7e" TargetMode="External"/><Relationship Id="rId83" Type="http://schemas.openxmlformats.org/officeDocument/2006/relationships/hyperlink" Target="https://us-east-1.quicksight.aws.amazon.com/sn/analyses/199f4cc8-a748-4884-b1dc-67d739d3411c" TargetMode="External"/><Relationship Id="rId88" Type="http://schemas.openxmlformats.org/officeDocument/2006/relationships/hyperlink" Target="https://us-east-1.quicksight.aws.amazon.com/sn/account/mdp-ponal/analyses/f97e53dd-c6e8-4f67-9b7a-a9b0688a1ab2" TargetMode="External"/><Relationship Id="rId111" Type="http://schemas.openxmlformats.org/officeDocument/2006/relationships/hyperlink" Target="https://us-east-1.quicksight.aws.amazon.com/sn/account/mdp-ponal/analyses/6cbfebd1-f8a1-4247-a276-a2e581b59125" TargetMode="External"/><Relationship Id="rId132" Type="http://schemas.openxmlformats.org/officeDocument/2006/relationships/hyperlink" Target="https://us-east-1.quicksight.aws.amazon.com/sn/analyses/boletin206" TargetMode="External"/><Relationship Id="rId153" Type="http://schemas.openxmlformats.org/officeDocument/2006/relationships/hyperlink" Target="https://us-east-1.quicksight.aws.amazon.com/sn/analyses/98d3036a-ea39-4692-9e28-565d6a8263c2" TargetMode="External"/><Relationship Id="rId15" Type="http://schemas.openxmlformats.org/officeDocument/2006/relationships/hyperlink" Target="https://us-east-1.quicksight.aws.amazon.com/sn/account/mdp-ponal/analyses/903fecde-4667-462d-a1e7-76b79d02c2ec1" TargetMode="External"/><Relationship Id="rId36" Type="http://schemas.openxmlformats.org/officeDocument/2006/relationships/hyperlink" Target="https://us-east-1.quicksight.aws.amazon.com/sn/analyses/3db09523-982b-4699-9124-90a891e2d495" TargetMode="External"/><Relationship Id="rId57" Type="http://schemas.openxmlformats.org/officeDocument/2006/relationships/hyperlink" Target="https://us-east-1.quicksight.aws.amazon.com/sn/analyses/0b62e39a-5cd8-408f-9921-37322828cfec" TargetMode="External"/><Relationship Id="rId106" Type="http://schemas.openxmlformats.org/officeDocument/2006/relationships/hyperlink" Target="https://us-east-1.quicksight.aws.amazon.com/sn/analyses/1e86891f-76a1-46c8-8852-e55b40329f10" TargetMode="External"/><Relationship Id="rId127" Type="http://schemas.openxmlformats.org/officeDocument/2006/relationships/hyperlink" Target="https://us-east-1.quicksight.aws.amazon.com/sn/analyses/2d1eb7f9-4493-4fa6-ae0e-978ef42128ca" TargetMode="External"/><Relationship Id="rId10" Type="http://schemas.openxmlformats.org/officeDocument/2006/relationships/hyperlink" Target="https://us-east-1.quicksight.aws.amazon.com/sn/account/mdp-ponal/analyses/eed2f6ee-91db-46c4-a9da-fbfed569114a" TargetMode="External"/><Relationship Id="rId31" Type="http://schemas.openxmlformats.org/officeDocument/2006/relationships/hyperlink" Target="https://us-east-1.quicksight.aws.amazon.com/sn/account/mdp-ponal/analyses/97255ec4-0860-4498-864b-8f1e331285e9" TargetMode="External"/><Relationship Id="rId52" Type="http://schemas.openxmlformats.org/officeDocument/2006/relationships/hyperlink" Target="https://us-east-1.quicksight.aws.amazon.com/sn/analyses/08ce81da-8212-4760-9c79-b243c7f39fc0" TargetMode="External"/><Relationship Id="rId73" Type="http://schemas.openxmlformats.org/officeDocument/2006/relationships/hyperlink" Target="https://us-east-1.quicksight.aws.amazon.com/sn/analyses/18a2da65-d202-43c6-b71c-73a749f006e0" TargetMode="External"/><Relationship Id="rId78" Type="http://schemas.openxmlformats.org/officeDocument/2006/relationships/hyperlink" Target="https://us-east-1.quicksight.aws.amazon.com/sn/analyses/18bf6cc1-2015-4806-942a-a4f0915a6122" TargetMode="External"/><Relationship Id="rId94" Type="http://schemas.openxmlformats.org/officeDocument/2006/relationships/hyperlink" Target="https://us-east-1.quicksight.aws.amazon.com/sn/account/mdp-ponal/analyses/cd41229c-d236-4bd1-96ba-ec63b3946bb7" TargetMode="External"/><Relationship Id="rId99" Type="http://schemas.openxmlformats.org/officeDocument/2006/relationships/hyperlink" Target="https://us-east-1.quicksight.aws.amazon.com/sn/account/mdp-ponal/analyses/ae795899-dc9f-40e1-ab1a-a2a8c179cfde" TargetMode="External"/><Relationship Id="rId101" Type="http://schemas.openxmlformats.org/officeDocument/2006/relationships/hyperlink" Target="https://us-east-1.quicksight.aws.amazon.com/sn/account/mdp-ponal/analyses/a0c276a7-1668-4312-8c26-d8a36d39e9c6" TargetMode="External"/><Relationship Id="rId122" Type="http://schemas.openxmlformats.org/officeDocument/2006/relationships/hyperlink" Target="https://us-east-1.quicksight.aws.amazon.com/sn/analyses/25e9671e-1fb3-4563-962d-c378c3441390" TargetMode="External"/><Relationship Id="rId143" Type="http://schemas.openxmlformats.org/officeDocument/2006/relationships/hyperlink" Target="https://us-east-1.quicksight.aws.amazon.com/sn/analyses/bccff719-bb27-4697-8d1e-e1c5126e1df4" TargetMode="External"/><Relationship Id="rId148" Type="http://schemas.openxmlformats.org/officeDocument/2006/relationships/hyperlink" Target="https://us-east-1.quicksight.aws.amazon.com/sn/analyses/92b360a0-6456-4d11-9311-c193fceefb39" TargetMode="External"/><Relationship Id="rId4" Type="http://schemas.openxmlformats.org/officeDocument/2006/relationships/hyperlink" Target="https://us-east-1.quicksight.aws.amazon.com/sn/account/mdp-ponal/analyses/6764d4e9-7cf7-462a-9fcb-0776ee18bbd9" TargetMode="External"/><Relationship Id="rId9" Type="http://schemas.openxmlformats.org/officeDocument/2006/relationships/hyperlink" Target="https://us-east-1.quicksight.aws.amazon.com/sn/account/mdp-ponal/analyses/fd8ef8ee-7a5a-4252-9ea3-2ef5f6f3562c" TargetMode="External"/><Relationship Id="rId26" Type="http://schemas.openxmlformats.org/officeDocument/2006/relationships/hyperlink" Target="https://us-east-1.quicksight.aws.amazon.com/sn/analyses/104359dc-1413-4bee-a9db-b66225711e0e" TargetMode="External"/><Relationship Id="rId47" Type="http://schemas.openxmlformats.org/officeDocument/2006/relationships/hyperlink" Target="https://us-east-1.quicksight.aws.amazon.com/sn/analyses/06a617c0-85c9-47a7-8c22-f1020b03c970" TargetMode="External"/><Relationship Id="rId68" Type="http://schemas.openxmlformats.org/officeDocument/2006/relationships/hyperlink" Target="https://us-east-1.quicksight.aws.amazon.com/sn/analyses/158378e0-ded9-41a0-802a-5c8fe024ed87" TargetMode="External"/><Relationship Id="rId89" Type="http://schemas.openxmlformats.org/officeDocument/2006/relationships/hyperlink" Target="https://us-east-1.quicksight.aws.amazon.com/sn/account/mdp-ponal/analyses/f84d6edd-4402-4c6c-a6d3-da92b2221d6e" TargetMode="External"/><Relationship Id="rId112" Type="http://schemas.openxmlformats.org/officeDocument/2006/relationships/hyperlink" Target="https://us-east-1.quicksight.aws.amazon.com/sn/account/mdp-ponal/analyses/67e63168-328a-45d3-82df-cc1903011566" TargetMode="External"/><Relationship Id="rId133" Type="http://schemas.openxmlformats.org/officeDocument/2006/relationships/hyperlink" Target="https://us-east-1.quicksight.aws.amazon.com/sn/analyses/bf76e6d1-dd65-422c-be75-31c2576eb6c1" TargetMode="External"/><Relationship Id="rId154" Type="http://schemas.openxmlformats.org/officeDocument/2006/relationships/table" Target="../tables/table5.xml"/><Relationship Id="rId16" Type="http://schemas.openxmlformats.org/officeDocument/2006/relationships/hyperlink" Target="https://us-east-1.quicksight.aws.amazon.com/sn/account/mdp-ponal/analyses/7a62250a-2416-4309-8934-533c82bc1627" TargetMode="External"/><Relationship Id="rId37" Type="http://schemas.openxmlformats.org/officeDocument/2006/relationships/hyperlink" Target="https://us-east-1.quicksight.aws.amazon.com/sn/account/mdp-ponal/analyses/51534515-2c96-4157-ba3a-4630811cd1a2" TargetMode="External"/><Relationship Id="rId58" Type="http://schemas.openxmlformats.org/officeDocument/2006/relationships/hyperlink" Target="https://us-east-1.quicksight.aws.amazon.com/sn/analyses/0cd4eec8-aadc-4556-88de-2bd50fe374d7" TargetMode="External"/><Relationship Id="rId79" Type="http://schemas.openxmlformats.org/officeDocument/2006/relationships/hyperlink" Target="https://us-east-1.quicksight.aws.amazon.com/sn/account/mdp-ponal/analyses/415d06fc-8852-4838-a07f-03be7f84cf43" TargetMode="External"/><Relationship Id="rId102" Type="http://schemas.openxmlformats.org/officeDocument/2006/relationships/hyperlink" Target="https://us-east-1.quicksight.aws.amazon.com/sn/account/mdp-ponal/analyses/9e7e0558-6c82-4bb5-9100-778fa72d8d6d" TargetMode="External"/><Relationship Id="rId123" Type="http://schemas.openxmlformats.org/officeDocument/2006/relationships/hyperlink" Target="https://us-east-1.quicksight.aws.amazon.com/sn/analyses/27eb8302-a457-45f4-83cb-cbd79873d3ab" TargetMode="External"/><Relationship Id="rId144" Type="http://schemas.openxmlformats.org/officeDocument/2006/relationships/hyperlink" Target="https://us-east-1.quicksight.aws.amazon.com/sn/account/mdp-ponal/analyses/f596d443-bffb-4400-a371-aea034f873ca" TargetMode="External"/><Relationship Id="rId90" Type="http://schemas.openxmlformats.org/officeDocument/2006/relationships/hyperlink" Target="https://us-east-1.quicksight.aws.amazon.com/sn/analyses/1bd343eb-1d1c-4439-9268-5a54ed4b9f41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quicksight.aws.amazon.com/sn/datasets/db2f737a-3781-4220-b22e-e0da9ae49234" TargetMode="External"/><Relationship Id="rId3" Type="http://schemas.openxmlformats.org/officeDocument/2006/relationships/hyperlink" Target="https://us-east-1.quicksight.aws.amazon.com/sn/datasets/0c7b4698-95d6-4553-85ff-134b20f9f5e7" TargetMode="External"/><Relationship Id="rId7" Type="http://schemas.openxmlformats.org/officeDocument/2006/relationships/hyperlink" Target="https://us-east-1.quicksight.aws.amazon.com/sn/datasets/dcd88796-9beb-4ad0-8b7a-1313ea789c00" TargetMode="External"/><Relationship Id="rId12" Type="http://schemas.microsoft.com/office/2019/04/relationships/namedSheetView" Target="../namedSheetViews/namedSheetView3.xml"/><Relationship Id="rId2" Type="http://schemas.openxmlformats.org/officeDocument/2006/relationships/hyperlink" Target="https://us-east-1.quicksight.aws.amazon.com/sn/datasets/00525f89-9e73-4d00-b25f-27738d9c1ced" TargetMode="External"/><Relationship Id="rId1" Type="http://schemas.openxmlformats.org/officeDocument/2006/relationships/hyperlink" Target="https://us-east-1.quicksight.aws.amazon.com/sn/account/mdp-ponal/data-sets/f1e7d587-0182-4664-9f11-13856ddf70ae/view" TargetMode="External"/><Relationship Id="rId6" Type="http://schemas.openxmlformats.org/officeDocument/2006/relationships/hyperlink" Target="https://us-east-1.quicksight.aws.amazon.com/sn/datasets/fde5a439-4beb-44a2-a82b-fa4a342ab875" TargetMode="External"/><Relationship Id="rId11" Type="http://schemas.openxmlformats.org/officeDocument/2006/relationships/table" Target="../tables/table6.xml"/><Relationship Id="rId5" Type="http://schemas.openxmlformats.org/officeDocument/2006/relationships/hyperlink" Target="https://us-east-1.quicksight.aws.amazon.com/sn/account/mdp-ponal/data-sets/f8ac1e3e-f035-4428-ba09-c11fe81dbea6/view" TargetMode="External"/><Relationship Id="rId10" Type="http://schemas.openxmlformats.org/officeDocument/2006/relationships/hyperlink" Target="https://us-east-1.quicksight.aws.amazon.com/sn/account/mdp-ponal/data-sets/5baf0243-cbf3-46af-a585-82cf98b94083/view" TargetMode="External"/><Relationship Id="rId4" Type="http://schemas.openxmlformats.org/officeDocument/2006/relationships/hyperlink" Target="https://us-east-1.quicksight.aws.amazon.com/sn/datasets/fe048c00-b931-4c2e-8a60-a20304684c15" TargetMode="External"/><Relationship Id="rId9" Type="http://schemas.openxmlformats.org/officeDocument/2006/relationships/hyperlink" Target="https://us-east-1.quicksight.aws.amazon.com/sn/datasets/d1d4c809-f4d1-4d69-b487-487f8dd90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7"/>
  <sheetViews>
    <sheetView tabSelected="1" zoomScale="80" zoomScaleNormal="80" workbookViewId="0">
      <pane xSplit="2" ySplit="1" topLeftCell="C2" activePane="bottomRight" state="frozen"/>
      <selection pane="bottomRight" activeCell="B60" sqref="B60:C64"/>
      <selection pane="bottomLeft"/>
      <selection pane="topRight"/>
    </sheetView>
  </sheetViews>
  <sheetFormatPr defaultColWidth="13" defaultRowHeight="15"/>
  <cols>
    <col min="1" max="1" width="4.85546875" style="1" customWidth="1"/>
    <col min="2" max="3" width="21.28515625" style="1" customWidth="1"/>
    <col min="4" max="4" width="50.28515625" style="1" customWidth="1"/>
    <col min="5" max="5" width="115.42578125" style="1" customWidth="1"/>
    <col min="6" max="7" width="51.85546875" style="1" customWidth="1"/>
    <col min="8" max="9" width="77.5703125" style="1" customWidth="1"/>
    <col min="10" max="10" width="105.140625" style="1" customWidth="1"/>
    <col min="11" max="11" width="45.140625" style="1" customWidth="1"/>
    <col min="12" max="12" width="22.42578125" style="1" customWidth="1"/>
    <col min="13" max="13" width="24.42578125" style="1" customWidth="1"/>
    <col min="14" max="14" width="14.28515625" style="1" customWidth="1"/>
    <col min="15" max="15" width="13" style="1" bestFit="1" customWidth="1"/>
    <col min="16" max="16384" width="13" style="1"/>
  </cols>
  <sheetData>
    <row r="1" spans="1:17">
      <c r="A1" s="3"/>
      <c r="B1" s="10" t="s">
        <v>0</v>
      </c>
      <c r="C1" s="10" t="s">
        <v>1</v>
      </c>
      <c r="D1" s="10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7">
      <c r="A2" s="173"/>
      <c r="B2" s="74" t="s">
        <v>12</v>
      </c>
      <c r="C2" s="72" t="s">
        <v>13</v>
      </c>
      <c r="D2" s="72" t="s">
        <v>14</v>
      </c>
      <c r="E2" s="16" t="s">
        <v>15</v>
      </c>
      <c r="F2" s="73" t="s">
        <v>16</v>
      </c>
      <c r="G2" s="82" t="s">
        <v>17</v>
      </c>
      <c r="H2" s="61" t="s">
        <v>18</v>
      </c>
      <c r="I2" s="61" t="s">
        <v>19</v>
      </c>
      <c r="J2" s="61" t="s">
        <v>20</v>
      </c>
      <c r="K2" s="3"/>
      <c r="L2" s="3"/>
      <c r="M2" s="30"/>
    </row>
    <row r="3" spans="1:17">
      <c r="A3" s="174"/>
      <c r="B3" s="74" t="s">
        <v>21</v>
      </c>
      <c r="C3" s="72" t="s">
        <v>13</v>
      </c>
      <c r="D3" s="72" t="s">
        <v>22</v>
      </c>
      <c r="E3" s="16" t="s">
        <v>23</v>
      </c>
      <c r="F3" s="73" t="s">
        <v>24</v>
      </c>
      <c r="G3" s="82" t="s">
        <v>25</v>
      </c>
      <c r="H3" s="61" t="s">
        <v>26</v>
      </c>
      <c r="I3" s="3"/>
      <c r="J3" s="3" t="s">
        <v>27</v>
      </c>
      <c r="K3" s="3"/>
      <c r="L3" s="3"/>
      <c r="M3" s="30"/>
    </row>
    <row r="4" spans="1:17" ht="45.75">
      <c r="A4" s="181"/>
      <c r="B4" s="67" t="s">
        <v>28</v>
      </c>
      <c r="C4" s="4" t="s">
        <v>29</v>
      </c>
      <c r="D4" s="4" t="s">
        <v>30</v>
      </c>
      <c r="E4" s="5" t="s">
        <v>31</v>
      </c>
      <c r="F4" s="3" t="s">
        <v>32</v>
      </c>
      <c r="G4" s="3" t="s">
        <v>33</v>
      </c>
      <c r="H4" s="6" t="s">
        <v>34</v>
      </c>
      <c r="I4" s="7" t="s">
        <v>35</v>
      </c>
      <c r="J4" s="4" t="s">
        <v>36</v>
      </c>
      <c r="K4" s="8" t="s">
        <v>37</v>
      </c>
      <c r="L4" s="3"/>
      <c r="M4" s="3"/>
      <c r="O4" s="57" t="s">
        <v>38</v>
      </c>
      <c r="P4" s="186" t="s">
        <v>39</v>
      </c>
      <c r="Q4" s="187"/>
    </row>
    <row r="5" spans="1:17" ht="90.75">
      <c r="A5" s="181"/>
      <c r="B5" s="67" t="s">
        <v>40</v>
      </c>
      <c r="C5" s="4" t="s">
        <v>29</v>
      </c>
      <c r="D5" s="4" t="s">
        <v>41</v>
      </c>
      <c r="E5" s="5" t="s">
        <v>42</v>
      </c>
      <c r="F5" s="3" t="s">
        <v>43</v>
      </c>
      <c r="G5" s="3" t="s">
        <v>44</v>
      </c>
      <c r="H5" s="6" t="s">
        <v>35</v>
      </c>
      <c r="I5" s="7" t="s">
        <v>35</v>
      </c>
      <c r="J5" s="4" t="s">
        <v>36</v>
      </c>
      <c r="K5" s="8" t="s">
        <v>37</v>
      </c>
      <c r="L5" s="3"/>
      <c r="M5" s="4" t="s">
        <v>45</v>
      </c>
      <c r="O5" s="50" t="s">
        <v>46</v>
      </c>
      <c r="P5" s="188" t="s">
        <v>47</v>
      </c>
      <c r="Q5" s="189"/>
    </row>
    <row r="6" spans="1:17" ht="45.75">
      <c r="A6" s="181"/>
      <c r="B6" s="67" t="s">
        <v>48</v>
      </c>
      <c r="C6" s="4" t="s">
        <v>29</v>
      </c>
      <c r="D6" s="4" t="s">
        <v>49</v>
      </c>
      <c r="E6" s="5" t="s">
        <v>50</v>
      </c>
      <c r="F6" s="3" t="s">
        <v>51</v>
      </c>
      <c r="G6" s="3" t="s">
        <v>52</v>
      </c>
      <c r="H6" s="6" t="s">
        <v>53</v>
      </c>
      <c r="I6" s="7" t="s">
        <v>53</v>
      </c>
      <c r="J6" s="4" t="s">
        <v>54</v>
      </c>
      <c r="K6" s="8" t="s">
        <v>37</v>
      </c>
      <c r="L6" s="3"/>
      <c r="M6" s="3" t="s">
        <v>55</v>
      </c>
      <c r="O6" s="51" t="s">
        <v>56</v>
      </c>
      <c r="P6" s="190" t="s">
        <v>57</v>
      </c>
      <c r="Q6" s="191"/>
    </row>
    <row r="7" spans="1:17" ht="45.75">
      <c r="A7" s="181"/>
      <c r="B7" s="67" t="s">
        <v>58</v>
      </c>
      <c r="C7" s="4" t="s">
        <v>29</v>
      </c>
      <c r="D7" s="4" t="s">
        <v>59</v>
      </c>
      <c r="E7" s="5" t="s">
        <v>60</v>
      </c>
      <c r="F7" s="3" t="s">
        <v>61</v>
      </c>
      <c r="G7" s="3" t="s">
        <v>62</v>
      </c>
      <c r="H7" s="6" t="s">
        <v>63</v>
      </c>
      <c r="I7" s="7" t="s">
        <v>53</v>
      </c>
      <c r="J7" s="9" t="s">
        <v>64</v>
      </c>
      <c r="K7" s="10" t="s">
        <v>64</v>
      </c>
      <c r="L7" s="3" t="s">
        <v>65</v>
      </c>
      <c r="M7" s="3"/>
      <c r="O7" s="52" t="s">
        <v>66</v>
      </c>
      <c r="P7" s="192" t="s">
        <v>67</v>
      </c>
      <c r="Q7" s="193"/>
    </row>
    <row r="8" spans="1:17" ht="45.75">
      <c r="A8" s="181"/>
      <c r="B8" s="67" t="s">
        <v>68</v>
      </c>
      <c r="C8" s="4" t="s">
        <v>29</v>
      </c>
      <c r="D8" s="4" t="s">
        <v>69</v>
      </c>
      <c r="E8" s="5" t="s">
        <v>70</v>
      </c>
      <c r="F8" s="3" t="s">
        <v>71</v>
      </c>
      <c r="G8" s="3" t="s">
        <v>72</v>
      </c>
      <c r="H8" s="6" t="s">
        <v>73</v>
      </c>
      <c r="I8" s="7" t="s">
        <v>73</v>
      </c>
      <c r="J8" s="11" t="s">
        <v>74</v>
      </c>
      <c r="K8" s="10" t="s">
        <v>75</v>
      </c>
      <c r="L8" s="3"/>
      <c r="M8" s="3" t="s">
        <v>74</v>
      </c>
      <c r="O8" s="53" t="s">
        <v>76</v>
      </c>
      <c r="P8" s="190" t="s">
        <v>77</v>
      </c>
      <c r="Q8" s="191"/>
    </row>
    <row r="9" spans="1:17" ht="75.75">
      <c r="A9" s="181"/>
      <c r="B9" s="67" t="s">
        <v>78</v>
      </c>
      <c r="C9" s="4" t="s">
        <v>29</v>
      </c>
      <c r="D9" s="4" t="s">
        <v>79</v>
      </c>
      <c r="E9" s="5" t="s">
        <v>80</v>
      </c>
      <c r="F9" s="3" t="s">
        <v>81</v>
      </c>
      <c r="G9" s="3" t="s">
        <v>82</v>
      </c>
      <c r="H9" s="6" t="s">
        <v>83</v>
      </c>
      <c r="I9" s="7" t="s">
        <v>83</v>
      </c>
      <c r="J9" s="12" t="s">
        <v>84</v>
      </c>
      <c r="K9" s="8" t="s">
        <v>37</v>
      </c>
      <c r="L9" s="3"/>
      <c r="M9" s="4" t="s">
        <v>85</v>
      </c>
      <c r="N9" s="2"/>
      <c r="O9" s="55" t="s">
        <v>86</v>
      </c>
      <c r="P9" s="182" t="s">
        <v>87</v>
      </c>
      <c r="Q9" s="183"/>
    </row>
    <row r="10" spans="1:17" ht="45.75">
      <c r="A10" s="181"/>
      <c r="B10" s="4" t="s">
        <v>88</v>
      </c>
      <c r="C10" s="58" t="s">
        <v>29</v>
      </c>
      <c r="D10" s="4" t="s">
        <v>89</v>
      </c>
      <c r="E10" s="5" t="s">
        <v>90</v>
      </c>
      <c r="F10" s="3" t="s">
        <v>91</v>
      </c>
      <c r="G10" s="3" t="s">
        <v>72</v>
      </c>
      <c r="H10" s="6" t="s">
        <v>73</v>
      </c>
      <c r="I10" s="7" t="s">
        <v>73</v>
      </c>
      <c r="J10" s="13" t="s">
        <v>74</v>
      </c>
      <c r="K10" s="10" t="s">
        <v>75</v>
      </c>
      <c r="L10" s="3"/>
      <c r="M10" s="3" t="s">
        <v>74</v>
      </c>
      <c r="O10" s="56" t="s">
        <v>92</v>
      </c>
      <c r="P10" s="184" t="s">
        <v>92</v>
      </c>
      <c r="Q10" s="185"/>
    </row>
    <row r="11" spans="1:17" ht="90.75">
      <c r="A11" s="181"/>
      <c r="B11" s="4" t="s">
        <v>93</v>
      </c>
      <c r="C11" s="59" t="s">
        <v>29</v>
      </c>
      <c r="D11" s="4" t="s">
        <v>94</v>
      </c>
      <c r="E11" s="5" t="s">
        <v>95</v>
      </c>
      <c r="F11" s="3" t="s">
        <v>96</v>
      </c>
      <c r="G11" s="3" t="s">
        <v>44</v>
      </c>
      <c r="H11" s="6" t="s">
        <v>35</v>
      </c>
      <c r="I11" s="7" t="s">
        <v>35</v>
      </c>
      <c r="J11" s="4" t="s">
        <v>97</v>
      </c>
      <c r="K11" s="8" t="s">
        <v>37</v>
      </c>
      <c r="L11" s="3"/>
      <c r="M11" s="4" t="s">
        <v>45</v>
      </c>
    </row>
    <row r="12" spans="1:17" ht="75.75">
      <c r="A12" s="181"/>
      <c r="B12" s="4" t="s">
        <v>98</v>
      </c>
      <c r="C12" s="58" t="s">
        <v>29</v>
      </c>
      <c r="D12" s="4" t="s">
        <v>99</v>
      </c>
      <c r="E12" s="5" t="s">
        <v>100</v>
      </c>
      <c r="F12" s="3" t="s">
        <v>101</v>
      </c>
      <c r="G12" s="3" t="s">
        <v>82</v>
      </c>
      <c r="H12" s="6" t="s">
        <v>83</v>
      </c>
      <c r="I12" s="7" t="s">
        <v>83</v>
      </c>
      <c r="J12" s="4" t="s">
        <v>102</v>
      </c>
      <c r="K12" s="8" t="s">
        <v>37</v>
      </c>
      <c r="L12" s="3"/>
      <c r="M12" s="4" t="s">
        <v>85</v>
      </c>
    </row>
    <row r="13" spans="1:17" ht="75.75">
      <c r="A13" s="181"/>
      <c r="B13" s="4" t="s">
        <v>103</v>
      </c>
      <c r="C13" s="58" t="s">
        <v>29</v>
      </c>
      <c r="D13" s="4" t="s">
        <v>104</v>
      </c>
      <c r="E13" s="14" t="s">
        <v>105</v>
      </c>
      <c r="F13" s="3" t="s">
        <v>106</v>
      </c>
      <c r="G13" s="3" t="s">
        <v>82</v>
      </c>
      <c r="H13" s="6" t="s">
        <v>83</v>
      </c>
      <c r="I13" s="7" t="s">
        <v>83</v>
      </c>
      <c r="J13" s="4" t="s">
        <v>102</v>
      </c>
      <c r="K13" s="8" t="s">
        <v>37</v>
      </c>
      <c r="L13" s="3"/>
      <c r="M13" s="4" t="s">
        <v>85</v>
      </c>
    </row>
    <row r="14" spans="1:17" ht="60.75">
      <c r="A14" s="15"/>
      <c r="B14" s="67" t="s">
        <v>107</v>
      </c>
      <c r="C14" s="4" t="s">
        <v>107</v>
      </c>
      <c r="D14" s="4" t="s">
        <v>108</v>
      </c>
      <c r="E14" s="16" t="s">
        <v>109</v>
      </c>
      <c r="F14" s="3" t="s">
        <v>110</v>
      </c>
      <c r="G14" s="3" t="s">
        <v>111</v>
      </c>
      <c r="H14" s="6" t="s">
        <v>112</v>
      </c>
      <c r="I14" s="7" t="s">
        <v>112</v>
      </c>
      <c r="J14" s="4" t="s">
        <v>113</v>
      </c>
      <c r="K14" s="8" t="s">
        <v>37</v>
      </c>
      <c r="L14" s="3"/>
      <c r="M14" s="3"/>
    </row>
    <row r="15" spans="1:17" ht="45.75">
      <c r="A15" s="176"/>
      <c r="B15" s="67" t="s">
        <v>114</v>
      </c>
      <c r="C15" s="4" t="s">
        <v>115</v>
      </c>
      <c r="D15" s="4" t="s">
        <v>116</v>
      </c>
      <c r="E15" s="16" t="s">
        <v>117</v>
      </c>
      <c r="F15" s="3" t="s">
        <v>118</v>
      </c>
      <c r="G15" s="3" t="s">
        <v>119</v>
      </c>
      <c r="H15" s="6" t="s">
        <v>120</v>
      </c>
      <c r="I15" s="7" t="s">
        <v>121</v>
      </c>
      <c r="J15" s="13" t="s">
        <v>122</v>
      </c>
      <c r="K15" s="10" t="s">
        <v>123</v>
      </c>
      <c r="L15" s="3"/>
      <c r="M15" s="4" t="s">
        <v>124</v>
      </c>
    </row>
    <row r="16" spans="1:17" ht="45.75">
      <c r="A16" s="176"/>
      <c r="B16" s="67" t="s">
        <v>125</v>
      </c>
      <c r="C16" s="54" t="s">
        <v>115</v>
      </c>
      <c r="D16" s="36" t="s">
        <v>126</v>
      </c>
      <c r="E16" s="85" t="s">
        <v>127</v>
      </c>
      <c r="F16" s="73" t="s">
        <v>128</v>
      </c>
      <c r="G16" s="38" t="s">
        <v>129</v>
      </c>
      <c r="H16" s="39" t="s">
        <v>130</v>
      </c>
      <c r="I16" s="39" t="s">
        <v>130</v>
      </c>
      <c r="J16" s="36" t="s">
        <v>131</v>
      </c>
      <c r="K16" s="40" t="s">
        <v>37</v>
      </c>
      <c r="L16" s="38"/>
      <c r="M16" s="38"/>
    </row>
    <row r="17" spans="1:13" ht="45.75">
      <c r="A17" s="176"/>
      <c r="B17" s="67" t="s">
        <v>132</v>
      </c>
      <c r="C17" s="4" t="s">
        <v>115</v>
      </c>
      <c r="D17" s="4" t="s">
        <v>133</v>
      </c>
      <c r="E17" s="16" t="s">
        <v>134</v>
      </c>
      <c r="F17" s="3" t="s">
        <v>135</v>
      </c>
      <c r="G17" s="3" t="s">
        <v>136</v>
      </c>
      <c r="H17" s="6" t="s">
        <v>137</v>
      </c>
      <c r="I17" s="7" t="s">
        <v>137</v>
      </c>
      <c r="J17" s="13" t="s">
        <v>122</v>
      </c>
      <c r="K17" s="10" t="s">
        <v>123</v>
      </c>
      <c r="L17" s="3"/>
      <c r="M17" s="3" t="s">
        <v>138</v>
      </c>
    </row>
    <row r="18" spans="1:13" ht="30">
      <c r="A18" s="176"/>
      <c r="B18" s="67" t="s">
        <v>139</v>
      </c>
      <c r="C18" s="4" t="s">
        <v>115</v>
      </c>
      <c r="D18" s="4" t="s">
        <v>140</v>
      </c>
      <c r="E18" s="7" t="s">
        <v>141</v>
      </c>
      <c r="F18" s="3" t="s">
        <v>142</v>
      </c>
      <c r="G18" s="8" t="s">
        <v>143</v>
      </c>
      <c r="H18" s="8" t="s">
        <v>143</v>
      </c>
      <c r="I18" s="8" t="s">
        <v>143</v>
      </c>
      <c r="J18" s="17" t="s">
        <v>143</v>
      </c>
      <c r="K18" s="8"/>
      <c r="L18" s="3"/>
      <c r="M18" s="3"/>
    </row>
    <row r="19" spans="1:13" ht="30">
      <c r="A19" s="176"/>
      <c r="B19" s="67" t="s">
        <v>144</v>
      </c>
      <c r="C19" s="4" t="s">
        <v>115</v>
      </c>
      <c r="D19" s="4" t="s">
        <v>145</v>
      </c>
      <c r="E19" s="16" t="s">
        <v>146</v>
      </c>
      <c r="F19" s="3" t="s">
        <v>147</v>
      </c>
      <c r="G19" s="3" t="s">
        <v>148</v>
      </c>
      <c r="H19" s="6" t="s">
        <v>149</v>
      </c>
      <c r="I19" s="6" t="s">
        <v>150</v>
      </c>
      <c r="J19" s="13" t="s">
        <v>149</v>
      </c>
      <c r="K19" s="10" t="s">
        <v>151</v>
      </c>
      <c r="L19" s="3"/>
      <c r="M19" s="3"/>
    </row>
    <row r="20" spans="1:13" ht="45.75">
      <c r="A20" s="176"/>
      <c r="B20" s="4" t="s">
        <v>152</v>
      </c>
      <c r="C20" s="59" t="s">
        <v>115</v>
      </c>
      <c r="D20" s="4" t="s">
        <v>153</v>
      </c>
      <c r="E20" s="16" t="s">
        <v>154</v>
      </c>
      <c r="F20" s="3" t="s">
        <v>155</v>
      </c>
      <c r="G20" s="3" t="s">
        <v>136</v>
      </c>
      <c r="H20" s="6" t="s">
        <v>137</v>
      </c>
      <c r="I20" s="6" t="s">
        <v>137</v>
      </c>
      <c r="J20" s="18" t="s">
        <v>122</v>
      </c>
      <c r="K20" s="10" t="s">
        <v>123</v>
      </c>
      <c r="L20" s="3"/>
      <c r="M20" s="3" t="s">
        <v>138</v>
      </c>
    </row>
    <row r="21" spans="1:13" ht="30">
      <c r="A21" s="176"/>
      <c r="B21" s="4" t="s">
        <v>156</v>
      </c>
      <c r="C21" s="59" t="s">
        <v>115</v>
      </c>
      <c r="D21" s="4" t="s">
        <v>157</v>
      </c>
      <c r="E21" s="16" t="s">
        <v>158</v>
      </c>
      <c r="F21" s="3" t="s">
        <v>159</v>
      </c>
      <c r="G21" s="3" t="s">
        <v>119</v>
      </c>
      <c r="H21" s="6" t="s">
        <v>120</v>
      </c>
      <c r="I21" s="6" t="s">
        <v>121</v>
      </c>
      <c r="J21" s="13" t="s">
        <v>122</v>
      </c>
      <c r="K21" s="10" t="s">
        <v>123</v>
      </c>
      <c r="L21" s="3"/>
      <c r="M21" s="4" t="s">
        <v>160</v>
      </c>
    </row>
    <row r="22" spans="1:13" ht="30">
      <c r="A22" s="176"/>
      <c r="B22" s="4" t="s">
        <v>161</v>
      </c>
      <c r="C22" s="59" t="s">
        <v>115</v>
      </c>
      <c r="D22" s="4" t="s">
        <v>162</v>
      </c>
      <c r="E22" s="16" t="s">
        <v>163</v>
      </c>
      <c r="F22" s="3" t="s">
        <v>164</v>
      </c>
      <c r="G22" s="3" t="s">
        <v>119</v>
      </c>
      <c r="H22" s="6" t="s">
        <v>120</v>
      </c>
      <c r="I22" s="6" t="s">
        <v>121</v>
      </c>
      <c r="J22" s="18" t="s">
        <v>122</v>
      </c>
      <c r="K22" s="10" t="s">
        <v>123</v>
      </c>
      <c r="L22" s="3"/>
      <c r="M22" s="4" t="s">
        <v>160</v>
      </c>
    </row>
    <row r="23" spans="1:13" ht="30">
      <c r="A23" s="176"/>
      <c r="B23" s="4" t="s">
        <v>165</v>
      </c>
      <c r="C23" s="59" t="s">
        <v>115</v>
      </c>
      <c r="D23" s="4" t="s">
        <v>166</v>
      </c>
      <c r="E23" s="16" t="s">
        <v>167</v>
      </c>
      <c r="F23" s="3" t="s">
        <v>168</v>
      </c>
      <c r="G23" s="3" t="s">
        <v>119</v>
      </c>
      <c r="H23" s="6" t="s">
        <v>120</v>
      </c>
      <c r="I23" s="6" t="s">
        <v>121</v>
      </c>
      <c r="J23" s="18" t="s">
        <v>122</v>
      </c>
      <c r="K23" s="10" t="s">
        <v>123</v>
      </c>
      <c r="L23" s="3"/>
      <c r="M23" s="4" t="s">
        <v>160</v>
      </c>
    </row>
    <row r="24" spans="1:13" ht="136.5">
      <c r="A24" s="177"/>
      <c r="B24" s="67" t="s">
        <v>169</v>
      </c>
      <c r="C24" s="4" t="s">
        <v>170</v>
      </c>
      <c r="D24" s="4" t="s">
        <v>171</v>
      </c>
      <c r="E24" s="5" t="s">
        <v>172</v>
      </c>
      <c r="F24" s="3" t="s">
        <v>173</v>
      </c>
      <c r="G24" s="3" t="s">
        <v>174</v>
      </c>
      <c r="H24" s="6" t="s">
        <v>175</v>
      </c>
      <c r="I24" s="6" t="s">
        <v>175</v>
      </c>
      <c r="J24" s="18" t="s">
        <v>176</v>
      </c>
      <c r="K24" s="10" t="s">
        <v>176</v>
      </c>
      <c r="L24" s="3"/>
      <c r="M24" s="4" t="s">
        <v>177</v>
      </c>
    </row>
    <row r="25" spans="1:13" ht="136.5">
      <c r="A25" s="177"/>
      <c r="B25" s="4" t="s">
        <v>178</v>
      </c>
      <c r="C25" s="58" t="s">
        <v>170</v>
      </c>
      <c r="D25" s="4" t="s">
        <v>179</v>
      </c>
      <c r="E25" s="16" t="s">
        <v>180</v>
      </c>
      <c r="F25" s="3" t="s">
        <v>181</v>
      </c>
      <c r="G25" s="3" t="s">
        <v>174</v>
      </c>
      <c r="H25" s="6" t="s">
        <v>175</v>
      </c>
      <c r="I25" s="6" t="s">
        <v>175</v>
      </c>
      <c r="J25" s="18" t="s">
        <v>176</v>
      </c>
      <c r="K25" s="10" t="s">
        <v>176</v>
      </c>
      <c r="L25" s="3"/>
      <c r="M25" s="4" t="s">
        <v>177</v>
      </c>
    </row>
    <row r="26" spans="1:13" ht="45.75">
      <c r="A26" s="178"/>
      <c r="B26" s="67" t="s">
        <v>182</v>
      </c>
      <c r="C26" s="4" t="s">
        <v>183</v>
      </c>
      <c r="D26" s="4" t="s">
        <v>184</v>
      </c>
      <c r="E26" s="16" t="s">
        <v>185</v>
      </c>
      <c r="F26" s="3" t="s">
        <v>186</v>
      </c>
      <c r="G26" s="3" t="s">
        <v>187</v>
      </c>
      <c r="H26" s="6" t="s">
        <v>188</v>
      </c>
      <c r="I26" s="6" t="s">
        <v>189</v>
      </c>
      <c r="J26" s="13" t="s">
        <v>190</v>
      </c>
      <c r="K26" s="10" t="s">
        <v>191</v>
      </c>
      <c r="L26" s="3"/>
      <c r="M26" s="4"/>
    </row>
    <row r="27" spans="1:13" ht="106.5">
      <c r="A27" s="178"/>
      <c r="B27" s="67" t="s">
        <v>192</v>
      </c>
      <c r="C27" s="4" t="s">
        <v>183</v>
      </c>
      <c r="D27" s="4" t="s">
        <v>193</v>
      </c>
      <c r="E27" s="5" t="s">
        <v>194</v>
      </c>
      <c r="F27" s="3" t="s">
        <v>195</v>
      </c>
      <c r="G27" s="3" t="s">
        <v>196</v>
      </c>
      <c r="H27" s="6" t="s">
        <v>197</v>
      </c>
      <c r="I27" s="6" t="s">
        <v>198</v>
      </c>
      <c r="J27" s="18" t="s">
        <v>190</v>
      </c>
      <c r="K27" s="10" t="s">
        <v>191</v>
      </c>
      <c r="L27" s="3"/>
      <c r="M27" s="4" t="s">
        <v>199</v>
      </c>
    </row>
    <row r="28" spans="1:13" ht="60.75">
      <c r="A28" s="19"/>
      <c r="B28" s="67" t="s">
        <v>200</v>
      </c>
      <c r="C28" s="4" t="s">
        <v>201</v>
      </c>
      <c r="D28" s="4" t="s">
        <v>202</v>
      </c>
      <c r="E28" s="5" t="s">
        <v>203</v>
      </c>
      <c r="F28" s="3" t="s">
        <v>204</v>
      </c>
      <c r="G28" s="3" t="s">
        <v>205</v>
      </c>
      <c r="H28" s="6" t="s">
        <v>206</v>
      </c>
      <c r="I28" s="6" t="s">
        <v>206</v>
      </c>
      <c r="J28" s="4" t="s">
        <v>207</v>
      </c>
      <c r="K28" s="8" t="s">
        <v>37</v>
      </c>
      <c r="L28" s="3"/>
      <c r="M28" s="3"/>
    </row>
    <row r="29" spans="1:13" ht="45.75">
      <c r="A29" s="179"/>
      <c r="B29" s="67" t="s">
        <v>208</v>
      </c>
      <c r="C29" s="4" t="s">
        <v>209</v>
      </c>
      <c r="D29" s="4" t="s">
        <v>210</v>
      </c>
      <c r="E29" s="16" t="s">
        <v>211</v>
      </c>
      <c r="F29" s="3" t="s">
        <v>212</v>
      </c>
      <c r="G29" s="3" t="s">
        <v>213</v>
      </c>
      <c r="H29" s="6" t="s">
        <v>214</v>
      </c>
      <c r="I29" s="6" t="s">
        <v>215</v>
      </c>
      <c r="J29" s="4" t="s">
        <v>216</v>
      </c>
      <c r="K29" s="8" t="s">
        <v>37</v>
      </c>
      <c r="L29" s="3"/>
      <c r="M29" s="3" t="s">
        <v>217</v>
      </c>
    </row>
    <row r="30" spans="1:13" ht="45.75">
      <c r="A30" s="179"/>
      <c r="B30" s="67" t="s">
        <v>218</v>
      </c>
      <c r="C30" s="4" t="s">
        <v>209</v>
      </c>
      <c r="D30" s="4" t="s">
        <v>219</v>
      </c>
      <c r="E30" s="16" t="s">
        <v>220</v>
      </c>
      <c r="F30" s="3" t="s">
        <v>221</v>
      </c>
      <c r="G30" s="3" t="s">
        <v>222</v>
      </c>
      <c r="H30" s="6" t="s">
        <v>223</v>
      </c>
      <c r="I30" s="6" t="s">
        <v>215</v>
      </c>
      <c r="J30" s="4" t="s">
        <v>224</v>
      </c>
      <c r="K30" s="8" t="s">
        <v>37</v>
      </c>
      <c r="L30" s="3"/>
      <c r="M30" s="3" t="s">
        <v>217</v>
      </c>
    </row>
    <row r="31" spans="1:13" ht="45.75">
      <c r="A31" s="179"/>
      <c r="B31" s="4" t="s">
        <v>225</v>
      </c>
      <c r="C31" s="58" t="s">
        <v>209</v>
      </c>
      <c r="D31" s="4" t="s">
        <v>226</v>
      </c>
      <c r="E31" s="7" t="s">
        <v>227</v>
      </c>
      <c r="F31" s="3" t="s">
        <v>228</v>
      </c>
      <c r="G31" s="3" t="s">
        <v>229</v>
      </c>
      <c r="H31" s="6" t="s">
        <v>230</v>
      </c>
      <c r="I31" s="6" t="s">
        <v>215</v>
      </c>
      <c r="J31" s="4" t="s">
        <v>216</v>
      </c>
      <c r="K31" s="8" t="s">
        <v>37</v>
      </c>
      <c r="L31" s="3"/>
      <c r="M31" s="3" t="s">
        <v>231</v>
      </c>
    </row>
    <row r="32" spans="1:13" ht="30">
      <c r="A32" s="179"/>
      <c r="B32" s="67" t="s">
        <v>232</v>
      </c>
      <c r="C32" s="4" t="s">
        <v>209</v>
      </c>
      <c r="D32" s="4" t="s">
        <v>233</v>
      </c>
      <c r="E32" s="16" t="s">
        <v>234</v>
      </c>
      <c r="F32" s="3" t="s">
        <v>235</v>
      </c>
      <c r="G32" s="3" t="s">
        <v>236</v>
      </c>
      <c r="H32" s="6" t="s">
        <v>237</v>
      </c>
      <c r="I32" s="6" t="s">
        <v>237</v>
      </c>
      <c r="J32" s="18" t="s">
        <v>238</v>
      </c>
      <c r="K32" s="10" t="s">
        <v>238</v>
      </c>
      <c r="L32" s="3"/>
      <c r="M32" s="3" t="s">
        <v>239</v>
      </c>
    </row>
    <row r="33" spans="1:13" ht="60.75">
      <c r="A33" s="179"/>
      <c r="B33" s="67" t="s">
        <v>240</v>
      </c>
      <c r="C33" s="4" t="s">
        <v>209</v>
      </c>
      <c r="D33" s="4" t="s">
        <v>241</v>
      </c>
      <c r="E33" s="16" t="s">
        <v>242</v>
      </c>
      <c r="F33" s="3" t="s">
        <v>243</v>
      </c>
      <c r="G33" s="3" t="s">
        <v>244</v>
      </c>
      <c r="H33" s="6" t="s">
        <v>245</v>
      </c>
      <c r="I33" s="6" t="s">
        <v>245</v>
      </c>
      <c r="J33" s="13" t="s">
        <v>246</v>
      </c>
      <c r="K33" s="10" t="s">
        <v>246</v>
      </c>
      <c r="L33" s="3"/>
      <c r="M33" s="3" t="s">
        <v>247</v>
      </c>
    </row>
    <row r="34" spans="1:13" ht="30">
      <c r="A34" s="179"/>
      <c r="B34" s="67" t="s">
        <v>248</v>
      </c>
      <c r="C34" s="4" t="s">
        <v>209</v>
      </c>
      <c r="D34" s="4" t="s">
        <v>249</v>
      </c>
      <c r="E34" s="16" t="s">
        <v>250</v>
      </c>
      <c r="F34" s="3" t="s">
        <v>251</v>
      </c>
      <c r="G34" s="3" t="s">
        <v>252</v>
      </c>
      <c r="H34" s="6" t="s">
        <v>253</v>
      </c>
      <c r="I34" s="6" t="s">
        <v>253</v>
      </c>
      <c r="J34" s="4" t="s">
        <v>254</v>
      </c>
      <c r="K34" s="8" t="s">
        <v>37</v>
      </c>
      <c r="L34" s="3"/>
      <c r="M34" s="3"/>
    </row>
    <row r="35" spans="1:13" ht="45.75">
      <c r="A35" s="179"/>
      <c r="B35" s="67" t="s">
        <v>255</v>
      </c>
      <c r="C35" s="4" t="s">
        <v>209</v>
      </c>
      <c r="D35" s="4" t="s">
        <v>256</v>
      </c>
      <c r="E35" s="16" t="s">
        <v>257</v>
      </c>
      <c r="F35" s="3" t="s">
        <v>258</v>
      </c>
      <c r="G35" s="3" t="s">
        <v>259</v>
      </c>
      <c r="H35" s="6" t="s">
        <v>260</v>
      </c>
      <c r="I35" s="6" t="s">
        <v>260</v>
      </c>
      <c r="J35" s="13" t="s">
        <v>238</v>
      </c>
      <c r="K35" s="10" t="s">
        <v>238</v>
      </c>
      <c r="L35" s="3"/>
      <c r="M35" s="3"/>
    </row>
    <row r="36" spans="1:13" ht="45.75">
      <c r="A36" s="179"/>
      <c r="B36" s="67" t="s">
        <v>261</v>
      </c>
      <c r="C36" s="4" t="s">
        <v>209</v>
      </c>
      <c r="D36" s="4" t="s">
        <v>262</v>
      </c>
      <c r="E36" s="16" t="s">
        <v>263</v>
      </c>
      <c r="F36" s="3" t="s">
        <v>264</v>
      </c>
      <c r="G36" s="3" t="s">
        <v>229</v>
      </c>
      <c r="H36" s="6" t="s">
        <v>230</v>
      </c>
      <c r="I36" s="6" t="s">
        <v>215</v>
      </c>
      <c r="J36" s="4" t="s">
        <v>216</v>
      </c>
      <c r="K36" s="8" t="s">
        <v>37</v>
      </c>
      <c r="L36" s="3"/>
      <c r="M36" s="3" t="s">
        <v>231</v>
      </c>
    </row>
    <row r="37" spans="1:13" ht="45.75">
      <c r="A37" s="179"/>
      <c r="B37" s="67" t="s">
        <v>265</v>
      </c>
      <c r="C37" s="54" t="s">
        <v>209</v>
      </c>
      <c r="D37" s="54" t="s">
        <v>266</v>
      </c>
      <c r="E37" s="64" t="s">
        <v>267</v>
      </c>
      <c r="F37" s="10" t="s">
        <v>268</v>
      </c>
      <c r="G37" s="10" t="s">
        <v>269</v>
      </c>
      <c r="H37" s="64" t="s">
        <v>270</v>
      </c>
      <c r="I37" s="64" t="s">
        <v>270</v>
      </c>
      <c r="J37" s="65" t="s">
        <v>238</v>
      </c>
      <c r="K37" s="10" t="s">
        <v>238</v>
      </c>
      <c r="L37" s="3"/>
      <c r="M37" s="3" t="s">
        <v>271</v>
      </c>
    </row>
    <row r="38" spans="1:13" ht="30">
      <c r="A38" s="179"/>
      <c r="B38" s="67" t="s">
        <v>272</v>
      </c>
      <c r="C38" s="4" t="s">
        <v>209</v>
      </c>
      <c r="D38" s="4" t="s">
        <v>273</v>
      </c>
      <c r="E38" s="16" t="s">
        <v>274</v>
      </c>
      <c r="F38" s="3" t="s">
        <v>275</v>
      </c>
      <c r="G38" s="3" t="s">
        <v>276</v>
      </c>
      <c r="H38" s="6" t="s">
        <v>277</v>
      </c>
      <c r="I38" s="6" t="s">
        <v>277</v>
      </c>
      <c r="J38" s="13" t="s">
        <v>238</v>
      </c>
      <c r="K38" s="10" t="s">
        <v>238</v>
      </c>
      <c r="L38" s="3"/>
      <c r="M38" s="3" t="s">
        <v>278</v>
      </c>
    </row>
    <row r="39" spans="1:13" ht="30">
      <c r="A39" s="179"/>
      <c r="B39" s="4" t="s">
        <v>279</v>
      </c>
      <c r="C39" s="58" t="s">
        <v>209</v>
      </c>
      <c r="D39" s="4" t="s">
        <v>280</v>
      </c>
      <c r="E39" s="16" t="s">
        <v>281</v>
      </c>
      <c r="F39" s="3" t="s">
        <v>282</v>
      </c>
      <c r="G39" s="3" t="s">
        <v>259</v>
      </c>
      <c r="H39" s="6" t="s">
        <v>260</v>
      </c>
      <c r="I39" s="6" t="s">
        <v>260</v>
      </c>
      <c r="J39" s="13" t="s">
        <v>238</v>
      </c>
      <c r="K39" s="10" t="s">
        <v>238</v>
      </c>
      <c r="L39" s="3"/>
      <c r="M39" s="3"/>
    </row>
    <row r="40" spans="1:13" ht="30">
      <c r="A40" s="179"/>
      <c r="B40" s="4" t="s">
        <v>283</v>
      </c>
      <c r="C40" s="58" t="s">
        <v>209</v>
      </c>
      <c r="D40" s="4" t="s">
        <v>284</v>
      </c>
      <c r="E40" s="16" t="s">
        <v>285</v>
      </c>
      <c r="F40" s="3" t="s">
        <v>286</v>
      </c>
      <c r="G40" s="3" t="s">
        <v>276</v>
      </c>
      <c r="H40" s="6" t="s">
        <v>277</v>
      </c>
      <c r="I40" s="6" t="s">
        <v>277</v>
      </c>
      <c r="J40" s="13" t="s">
        <v>238</v>
      </c>
      <c r="K40" s="10" t="s">
        <v>238</v>
      </c>
      <c r="L40" s="3"/>
      <c r="M40" s="3" t="s">
        <v>278</v>
      </c>
    </row>
    <row r="41" spans="1:13" ht="30">
      <c r="A41" s="179"/>
      <c r="B41" s="4" t="s">
        <v>287</v>
      </c>
      <c r="C41" s="58" t="s">
        <v>209</v>
      </c>
      <c r="D41" s="4" t="s">
        <v>288</v>
      </c>
      <c r="E41" s="16" t="s">
        <v>289</v>
      </c>
      <c r="F41" s="3" t="s">
        <v>290</v>
      </c>
      <c r="G41" s="3" t="s">
        <v>276</v>
      </c>
      <c r="H41" s="6" t="s">
        <v>277</v>
      </c>
      <c r="I41" s="6" t="s">
        <v>277</v>
      </c>
      <c r="J41" s="13" t="s">
        <v>238</v>
      </c>
      <c r="K41" s="10" t="s">
        <v>238</v>
      </c>
      <c r="L41" s="3"/>
      <c r="M41" s="3" t="s">
        <v>278</v>
      </c>
    </row>
    <row r="42" spans="1:13" ht="45.75">
      <c r="A42" s="179"/>
      <c r="B42" s="67" t="s">
        <v>291</v>
      </c>
      <c r="C42" s="4" t="s">
        <v>209</v>
      </c>
      <c r="D42" s="4" t="s">
        <v>292</v>
      </c>
      <c r="E42" s="16" t="s">
        <v>293</v>
      </c>
      <c r="F42" s="3" t="s">
        <v>294</v>
      </c>
      <c r="G42" s="3" t="s">
        <v>295</v>
      </c>
      <c r="H42" s="6" t="s">
        <v>296</v>
      </c>
      <c r="I42" s="6" t="s">
        <v>296</v>
      </c>
      <c r="J42" s="4" t="s">
        <v>216</v>
      </c>
      <c r="K42" s="8" t="s">
        <v>37</v>
      </c>
      <c r="L42" s="3"/>
      <c r="M42" s="3"/>
    </row>
    <row r="43" spans="1:13" ht="45.75">
      <c r="A43" s="180"/>
      <c r="B43" s="67" t="s">
        <v>297</v>
      </c>
      <c r="C43" s="4" t="s">
        <v>298</v>
      </c>
      <c r="D43" s="4" t="s">
        <v>299</v>
      </c>
      <c r="E43" s="16" t="s">
        <v>300</v>
      </c>
      <c r="F43" s="3" t="s">
        <v>301</v>
      </c>
      <c r="G43" s="3" t="s">
        <v>302</v>
      </c>
      <c r="H43" s="6" t="s">
        <v>303</v>
      </c>
      <c r="I43" s="6" t="s">
        <v>304</v>
      </c>
      <c r="J43" s="4" t="s">
        <v>305</v>
      </c>
      <c r="K43" s="8" t="s">
        <v>37</v>
      </c>
      <c r="L43" s="3"/>
      <c r="M43" s="3"/>
    </row>
    <row r="44" spans="1:13" ht="30">
      <c r="A44" s="180"/>
      <c r="B44" s="67" t="s">
        <v>306</v>
      </c>
      <c r="C44" s="4" t="s">
        <v>298</v>
      </c>
      <c r="D44" s="4" t="s">
        <v>307</v>
      </c>
      <c r="E44" s="16" t="s">
        <v>308</v>
      </c>
      <c r="F44" s="73" t="s">
        <v>309</v>
      </c>
      <c r="G44" s="3" t="s">
        <v>310</v>
      </c>
      <c r="H44" s="6" t="s">
        <v>311</v>
      </c>
      <c r="I44" s="6" t="s">
        <v>304</v>
      </c>
      <c r="J44" s="4" t="s">
        <v>305</v>
      </c>
      <c r="K44" s="8" t="s">
        <v>37</v>
      </c>
      <c r="L44" s="3"/>
      <c r="M44" s="3" t="s">
        <v>312</v>
      </c>
    </row>
    <row r="45" spans="1:13" ht="30">
      <c r="A45" s="180"/>
      <c r="B45" s="67" t="s">
        <v>313</v>
      </c>
      <c r="C45" s="54" t="s">
        <v>298</v>
      </c>
      <c r="D45" s="41" t="s">
        <v>314</v>
      </c>
      <c r="E45" s="43" t="s">
        <v>315</v>
      </c>
      <c r="F45" s="97" t="s">
        <v>316</v>
      </c>
      <c r="G45" s="44" t="s">
        <v>317</v>
      </c>
      <c r="H45" s="45" t="s">
        <v>318</v>
      </c>
      <c r="I45" s="45" t="s">
        <v>304</v>
      </c>
      <c r="J45" s="41" t="s">
        <v>319</v>
      </c>
      <c r="K45" s="42" t="s">
        <v>37</v>
      </c>
      <c r="L45" s="44"/>
      <c r="M45" s="44"/>
    </row>
    <row r="46" spans="1:13" ht="45.75">
      <c r="A46" s="180"/>
      <c r="B46" s="67" t="s">
        <v>320</v>
      </c>
      <c r="C46" s="4" t="s">
        <v>298</v>
      </c>
      <c r="D46" s="4" t="s">
        <v>321</v>
      </c>
      <c r="E46" s="16" t="s">
        <v>322</v>
      </c>
      <c r="F46" s="3" t="s">
        <v>323</v>
      </c>
      <c r="G46" s="3" t="s">
        <v>324</v>
      </c>
      <c r="H46" s="6" t="s">
        <v>325</v>
      </c>
      <c r="I46" s="6" t="s">
        <v>325</v>
      </c>
      <c r="J46" s="13" t="s">
        <v>326</v>
      </c>
      <c r="K46" s="10" t="s">
        <v>327</v>
      </c>
      <c r="L46" s="3"/>
      <c r="M46" s="3"/>
    </row>
    <row r="47" spans="1:13">
      <c r="A47" s="180"/>
      <c r="B47" s="67" t="s">
        <v>328</v>
      </c>
      <c r="C47" s="4" t="s">
        <v>298</v>
      </c>
      <c r="D47" s="4" t="s">
        <v>329</v>
      </c>
      <c r="E47" s="16" t="s">
        <v>330</v>
      </c>
      <c r="F47" s="3" t="s">
        <v>331</v>
      </c>
      <c r="G47" s="3" t="s">
        <v>332</v>
      </c>
      <c r="H47" s="6" t="s">
        <v>333</v>
      </c>
      <c r="I47" s="6" t="s">
        <v>333</v>
      </c>
      <c r="J47" s="13" t="s">
        <v>334</v>
      </c>
      <c r="K47" s="10" t="s">
        <v>335</v>
      </c>
      <c r="L47" s="3"/>
      <c r="M47" s="3" t="s">
        <v>336</v>
      </c>
    </row>
    <row r="48" spans="1:13" ht="30">
      <c r="A48" s="180"/>
      <c r="B48" s="67" t="s">
        <v>337</v>
      </c>
      <c r="C48" s="4" t="s">
        <v>298</v>
      </c>
      <c r="D48" s="4" t="s">
        <v>338</v>
      </c>
      <c r="E48" s="16" t="s">
        <v>339</v>
      </c>
      <c r="F48" s="3" t="s">
        <v>340</v>
      </c>
      <c r="G48" s="3" t="s">
        <v>341</v>
      </c>
      <c r="H48" s="6" t="s">
        <v>342</v>
      </c>
      <c r="I48" s="6" t="s">
        <v>342</v>
      </c>
      <c r="J48" s="13" t="s">
        <v>334</v>
      </c>
      <c r="K48" s="10" t="s">
        <v>335</v>
      </c>
      <c r="L48" s="3"/>
      <c r="M48" s="3"/>
    </row>
    <row r="49" spans="1:13" ht="45.75">
      <c r="A49" s="180"/>
      <c r="B49" s="67" t="s">
        <v>343</v>
      </c>
      <c r="C49" s="4" t="s">
        <v>298</v>
      </c>
      <c r="D49" s="4" t="s">
        <v>344</v>
      </c>
      <c r="E49" s="16" t="s">
        <v>345</v>
      </c>
      <c r="F49" s="3" t="s">
        <v>346</v>
      </c>
      <c r="G49" s="3" t="s">
        <v>347</v>
      </c>
      <c r="H49" s="6" t="s">
        <v>348</v>
      </c>
      <c r="I49" s="6" t="s">
        <v>348</v>
      </c>
      <c r="J49" s="4" t="s">
        <v>349</v>
      </c>
      <c r="K49" s="8" t="s">
        <v>37</v>
      </c>
      <c r="L49" s="3"/>
      <c r="M49" s="3"/>
    </row>
    <row r="50" spans="1:13" ht="30">
      <c r="A50" s="180"/>
      <c r="B50" s="4" t="s">
        <v>350</v>
      </c>
      <c r="C50" s="58" t="s">
        <v>298</v>
      </c>
      <c r="D50" s="4" t="s">
        <v>351</v>
      </c>
      <c r="E50" s="16" t="s">
        <v>352</v>
      </c>
      <c r="F50" s="3" t="s">
        <v>353</v>
      </c>
      <c r="G50" s="3" t="s">
        <v>332</v>
      </c>
      <c r="H50" s="6" t="s">
        <v>333</v>
      </c>
      <c r="I50" s="6" t="s">
        <v>333</v>
      </c>
      <c r="J50" s="13" t="s">
        <v>334</v>
      </c>
      <c r="K50" s="10" t="s">
        <v>335</v>
      </c>
      <c r="L50" s="3"/>
      <c r="M50" s="3" t="s">
        <v>336</v>
      </c>
    </row>
    <row r="51" spans="1:13" ht="30">
      <c r="A51" s="180"/>
      <c r="B51" s="4" t="s">
        <v>354</v>
      </c>
      <c r="C51" s="58" t="s">
        <v>298</v>
      </c>
      <c r="D51" s="4" t="s">
        <v>355</v>
      </c>
      <c r="E51" s="16" t="s">
        <v>356</v>
      </c>
      <c r="F51" s="3" t="s">
        <v>357</v>
      </c>
      <c r="G51" s="3" t="s">
        <v>236</v>
      </c>
      <c r="H51" s="6" t="s">
        <v>237</v>
      </c>
      <c r="I51" s="6" t="s">
        <v>237</v>
      </c>
      <c r="J51" s="13" t="s">
        <v>238</v>
      </c>
      <c r="K51" s="10" t="s">
        <v>238</v>
      </c>
      <c r="L51" s="3"/>
      <c r="M51" s="3"/>
    </row>
    <row r="52" spans="1:13" ht="30">
      <c r="A52" s="180"/>
      <c r="B52" s="4" t="s">
        <v>358</v>
      </c>
      <c r="C52" s="58" t="s">
        <v>298</v>
      </c>
      <c r="D52" s="4" t="s">
        <v>359</v>
      </c>
      <c r="E52" s="16" t="s">
        <v>360</v>
      </c>
      <c r="F52" s="3" t="s">
        <v>361</v>
      </c>
      <c r="G52" s="3" t="s">
        <v>341</v>
      </c>
      <c r="H52" s="6" t="s">
        <v>342</v>
      </c>
      <c r="I52" s="6" t="s">
        <v>342</v>
      </c>
      <c r="J52" s="13" t="s">
        <v>334</v>
      </c>
      <c r="K52" s="10" t="s">
        <v>335</v>
      </c>
      <c r="L52" s="3"/>
      <c r="M52" s="3"/>
    </row>
    <row r="53" spans="1:13" ht="30">
      <c r="A53" s="180"/>
      <c r="B53" s="4" t="s">
        <v>362</v>
      </c>
      <c r="C53" s="58" t="s">
        <v>298</v>
      </c>
      <c r="D53" s="4" t="s">
        <v>363</v>
      </c>
      <c r="E53" s="16" t="s">
        <v>364</v>
      </c>
      <c r="F53" s="3" t="s">
        <v>365</v>
      </c>
      <c r="G53" s="3" t="s">
        <v>310</v>
      </c>
      <c r="H53" s="6" t="s">
        <v>311</v>
      </c>
      <c r="I53" s="6" t="s">
        <v>304</v>
      </c>
      <c r="J53" s="4" t="s">
        <v>305</v>
      </c>
      <c r="K53" s="8" t="s">
        <v>37</v>
      </c>
      <c r="L53" s="3"/>
      <c r="M53" s="3"/>
    </row>
    <row r="54" spans="1:13" ht="30">
      <c r="A54" s="180"/>
      <c r="B54" s="4" t="s">
        <v>366</v>
      </c>
      <c r="C54" s="58" t="s">
        <v>298</v>
      </c>
      <c r="D54" s="4" t="s">
        <v>367</v>
      </c>
      <c r="E54" s="16" t="s">
        <v>368</v>
      </c>
      <c r="F54" s="3" t="s">
        <v>369</v>
      </c>
      <c r="G54" s="3" t="s">
        <v>310</v>
      </c>
      <c r="H54" s="6" t="s">
        <v>311</v>
      </c>
      <c r="I54" s="6" t="s">
        <v>304</v>
      </c>
      <c r="J54" s="4" t="s">
        <v>305</v>
      </c>
      <c r="K54" s="8" t="s">
        <v>37</v>
      </c>
      <c r="L54" s="3"/>
      <c r="M54" s="3"/>
    </row>
    <row r="55" spans="1:13" ht="30">
      <c r="A55" s="21"/>
      <c r="B55" s="67" t="s">
        <v>370</v>
      </c>
      <c r="C55" s="22" t="s">
        <v>371</v>
      </c>
      <c r="D55" s="22" t="s">
        <v>372</v>
      </c>
      <c r="E55" s="16" t="s">
        <v>373</v>
      </c>
      <c r="F55" s="3" t="s">
        <v>374</v>
      </c>
      <c r="G55" s="3" t="s">
        <v>375</v>
      </c>
      <c r="H55" s="6" t="s">
        <v>376</v>
      </c>
      <c r="I55" s="6" t="s">
        <v>377</v>
      </c>
      <c r="J55" s="4" t="s">
        <v>378</v>
      </c>
      <c r="K55" s="8" t="s">
        <v>37</v>
      </c>
      <c r="L55" s="3"/>
      <c r="M55" s="3"/>
    </row>
    <row r="56" spans="1:13">
      <c r="A56" s="23"/>
      <c r="B56" s="67" t="s">
        <v>379</v>
      </c>
      <c r="C56" s="4" t="s">
        <v>379</v>
      </c>
      <c r="D56" s="4" t="s">
        <v>379</v>
      </c>
      <c r="E56" s="16" t="s">
        <v>380</v>
      </c>
      <c r="F56" s="3" t="s">
        <v>381</v>
      </c>
      <c r="G56" s="3" t="s">
        <v>382</v>
      </c>
      <c r="H56" s="6" t="s">
        <v>383</v>
      </c>
      <c r="I56" s="6" t="s">
        <v>383</v>
      </c>
      <c r="J56" s="13" t="s">
        <v>384</v>
      </c>
      <c r="K56" s="10" t="s">
        <v>384</v>
      </c>
      <c r="L56" s="3"/>
      <c r="M56" s="3"/>
    </row>
    <row r="57" spans="1:13" ht="106.5">
      <c r="A57" s="24"/>
      <c r="B57" s="67" t="s">
        <v>385</v>
      </c>
      <c r="C57" s="54" t="s">
        <v>385</v>
      </c>
      <c r="D57" s="36" t="s">
        <v>386</v>
      </c>
      <c r="E57" s="37" t="s">
        <v>387</v>
      </c>
      <c r="F57" s="38" t="s">
        <v>388</v>
      </c>
      <c r="G57" s="38" t="s">
        <v>389</v>
      </c>
      <c r="H57" s="39" t="s">
        <v>390</v>
      </c>
      <c r="I57" s="39" t="s">
        <v>390</v>
      </c>
      <c r="J57" s="36" t="s">
        <v>391</v>
      </c>
      <c r="K57" s="40" t="s">
        <v>37</v>
      </c>
      <c r="L57" s="38"/>
      <c r="M57" s="38"/>
    </row>
    <row r="58" spans="1:13" ht="30">
      <c r="A58" s="87"/>
      <c r="B58" s="67" t="s">
        <v>392</v>
      </c>
      <c r="C58" s="4" t="s">
        <v>392</v>
      </c>
      <c r="D58" s="4" t="s">
        <v>393</v>
      </c>
      <c r="E58" s="16" t="s">
        <v>394</v>
      </c>
      <c r="F58" s="3" t="s">
        <v>395</v>
      </c>
      <c r="G58" s="3" t="s">
        <v>396</v>
      </c>
      <c r="H58" s="6" t="s">
        <v>397</v>
      </c>
      <c r="I58" s="6" t="s">
        <v>397</v>
      </c>
      <c r="J58" s="4" t="s">
        <v>398</v>
      </c>
      <c r="K58" s="8" t="s">
        <v>37</v>
      </c>
      <c r="L58" s="3"/>
      <c r="M58" s="3"/>
    </row>
    <row r="59" spans="1:13" ht="30">
      <c r="A59" s="175"/>
      <c r="B59" s="20" t="s">
        <v>399</v>
      </c>
      <c r="C59" s="59" t="s">
        <v>400</v>
      </c>
      <c r="D59" s="20" t="s">
        <v>401</v>
      </c>
      <c r="E59" s="16" t="s">
        <v>402</v>
      </c>
      <c r="F59" s="3" t="s">
        <v>403</v>
      </c>
      <c r="G59" s="3" t="s">
        <v>404</v>
      </c>
      <c r="H59" s="6" t="s">
        <v>405</v>
      </c>
      <c r="I59" s="6" t="s">
        <v>406</v>
      </c>
      <c r="J59" s="4" t="s">
        <v>407</v>
      </c>
      <c r="K59" s="8" t="s">
        <v>37</v>
      </c>
      <c r="L59" s="3"/>
      <c r="M59" s="3" t="s">
        <v>408</v>
      </c>
    </row>
    <row r="60" spans="1:13" ht="30">
      <c r="A60" s="175"/>
      <c r="B60" s="67" t="s">
        <v>409</v>
      </c>
      <c r="C60" s="80" t="s">
        <v>400</v>
      </c>
      <c r="D60" s="4" t="s">
        <v>410</v>
      </c>
      <c r="E60" s="16" t="s">
        <v>411</v>
      </c>
      <c r="F60" s="3" t="s">
        <v>412</v>
      </c>
      <c r="G60" s="3" t="s">
        <v>413</v>
      </c>
      <c r="H60" s="25" t="s">
        <v>414</v>
      </c>
      <c r="I60" s="61" t="s">
        <v>415</v>
      </c>
      <c r="J60" s="13" t="s">
        <v>416</v>
      </c>
      <c r="K60" s="10" t="s">
        <v>417</v>
      </c>
      <c r="L60" s="3"/>
      <c r="M60" s="3"/>
    </row>
    <row r="61" spans="1:13" ht="30">
      <c r="A61" s="175"/>
      <c r="B61" s="67" t="s">
        <v>418</v>
      </c>
      <c r="C61" s="80" t="s">
        <v>400</v>
      </c>
      <c r="D61" s="4" t="s">
        <v>419</v>
      </c>
      <c r="E61" s="16" t="s">
        <v>420</v>
      </c>
      <c r="F61" s="3" t="s">
        <v>421</v>
      </c>
      <c r="G61" s="3" t="s">
        <v>422</v>
      </c>
      <c r="H61" s="6" t="s">
        <v>418</v>
      </c>
      <c r="I61" s="6" t="s">
        <v>423</v>
      </c>
      <c r="J61" s="13" t="s">
        <v>424</v>
      </c>
      <c r="K61" s="10" t="s">
        <v>424</v>
      </c>
      <c r="L61" s="3"/>
      <c r="M61" s="3"/>
    </row>
    <row r="62" spans="1:13" ht="30">
      <c r="A62" s="175"/>
      <c r="B62" s="67" t="s">
        <v>425</v>
      </c>
      <c r="C62" s="86" t="s">
        <v>400</v>
      </c>
      <c r="D62" s="22" t="s">
        <v>426</v>
      </c>
      <c r="E62" s="16" t="s">
        <v>427</v>
      </c>
      <c r="F62" s="3" t="s">
        <v>428</v>
      </c>
      <c r="G62" s="3" t="s">
        <v>429</v>
      </c>
      <c r="H62" s="6" t="s">
        <v>430</v>
      </c>
      <c r="I62" s="6" t="s">
        <v>431</v>
      </c>
      <c r="J62" s="13" t="s">
        <v>432</v>
      </c>
      <c r="K62" s="10" t="s">
        <v>433</v>
      </c>
      <c r="L62" s="3"/>
      <c r="M62" s="3"/>
    </row>
    <row r="63" spans="1:13" ht="45.75">
      <c r="A63" s="175"/>
      <c r="B63" s="67" t="s">
        <v>434</v>
      </c>
      <c r="C63" s="80" t="s">
        <v>400</v>
      </c>
      <c r="D63" s="4" t="s">
        <v>435</v>
      </c>
      <c r="E63" s="16" t="s">
        <v>402</v>
      </c>
      <c r="F63" s="3" t="s">
        <v>403</v>
      </c>
      <c r="G63" s="3" t="s">
        <v>404</v>
      </c>
      <c r="H63" s="6" t="s">
        <v>405</v>
      </c>
      <c r="I63" s="6" t="s">
        <v>406</v>
      </c>
      <c r="J63" s="4" t="s">
        <v>407</v>
      </c>
      <c r="K63" s="8" t="s">
        <v>37</v>
      </c>
      <c r="L63" s="3"/>
      <c r="M63" s="3" t="s">
        <v>408</v>
      </c>
    </row>
    <row r="64" spans="1:13" ht="30">
      <c r="A64" s="175"/>
      <c r="B64" s="67" t="s">
        <v>436</v>
      </c>
      <c r="C64" s="80" t="s">
        <v>400</v>
      </c>
      <c r="D64" s="4" t="s">
        <v>437</v>
      </c>
      <c r="E64" s="16" t="s">
        <v>438</v>
      </c>
      <c r="F64" s="73" t="s">
        <v>439</v>
      </c>
      <c r="G64" s="3" t="s">
        <v>440</v>
      </c>
      <c r="H64" s="61" t="s">
        <v>441</v>
      </c>
      <c r="I64" s="61" t="s">
        <v>442</v>
      </c>
      <c r="J64" s="3" t="s">
        <v>443</v>
      </c>
      <c r="K64" s="8" t="s">
        <v>37</v>
      </c>
      <c r="L64" s="3"/>
      <c r="M64" s="30"/>
    </row>
    <row r="65" spans="1:13" ht="45.75">
      <c r="A65" s="88"/>
      <c r="B65" s="67" t="s">
        <v>444</v>
      </c>
      <c r="C65" s="168" t="s">
        <v>445</v>
      </c>
      <c r="D65" s="4" t="s">
        <v>446</v>
      </c>
      <c r="E65" s="16"/>
      <c r="F65" s="3"/>
      <c r="G65" s="3" t="s">
        <v>447</v>
      </c>
      <c r="H65" s="18" t="s">
        <v>448</v>
      </c>
      <c r="I65" s="6"/>
      <c r="J65" s="4" t="s">
        <v>449</v>
      </c>
      <c r="K65" s="8" t="s">
        <v>37</v>
      </c>
      <c r="L65" s="3"/>
      <c r="M65" s="30"/>
    </row>
    <row r="66" spans="1:13">
      <c r="A66" s="81"/>
      <c r="B66" s="139" t="s">
        <v>450</v>
      </c>
      <c r="C66" s="83" t="s">
        <v>445</v>
      </c>
      <c r="D66" s="4" t="s">
        <v>451</v>
      </c>
      <c r="E66" s="16"/>
      <c r="F66" s="3"/>
      <c r="G66" s="3" t="s">
        <v>452</v>
      </c>
      <c r="H66" s="61" t="s">
        <v>453</v>
      </c>
      <c r="I66" s="6"/>
      <c r="J66" s="4" t="s">
        <v>454</v>
      </c>
      <c r="K66" s="8" t="s">
        <v>37</v>
      </c>
      <c r="L66" s="3"/>
      <c r="M66" s="30"/>
    </row>
    <row r="67" spans="1:13" ht="36">
      <c r="A67" s="81"/>
      <c r="B67" s="54" t="s">
        <v>455</v>
      </c>
      <c r="C67" s="83" t="s">
        <v>445</v>
      </c>
      <c r="D67" s="4" t="s">
        <v>456</v>
      </c>
      <c r="E67" s="16"/>
      <c r="F67" s="3"/>
      <c r="G67" s="3" t="s">
        <v>457</v>
      </c>
      <c r="H67" s="84" t="s">
        <v>458</v>
      </c>
      <c r="I67" s="6"/>
      <c r="J67" s="4" t="s">
        <v>459</v>
      </c>
      <c r="K67" s="8" t="s">
        <v>37</v>
      </c>
      <c r="L67" s="3"/>
      <c r="M67" s="30"/>
    </row>
    <row r="68" spans="1:13" ht="45.75">
      <c r="A68" s="3"/>
      <c r="B68" s="4" t="s">
        <v>460</v>
      </c>
      <c r="C68" s="58" t="s">
        <v>29</v>
      </c>
      <c r="D68" s="4" t="s">
        <v>461</v>
      </c>
      <c r="E68" s="3"/>
      <c r="F68" s="3"/>
      <c r="G68" s="3" t="s">
        <v>72</v>
      </c>
      <c r="H68" s="4" t="s">
        <v>462</v>
      </c>
      <c r="I68" s="3" t="s">
        <v>73</v>
      </c>
      <c r="J68" s="3" t="s">
        <v>74</v>
      </c>
      <c r="K68" s="3"/>
      <c r="L68" s="3"/>
      <c r="M68" s="30" t="s">
        <v>74</v>
      </c>
    </row>
    <row r="69" spans="1:13" ht="45.75">
      <c r="A69" s="3"/>
      <c r="B69" s="4" t="s">
        <v>463</v>
      </c>
      <c r="C69" s="58" t="s">
        <v>29</v>
      </c>
      <c r="D69" s="4" t="s">
        <v>464</v>
      </c>
      <c r="E69" s="3"/>
      <c r="F69" s="3"/>
      <c r="G69" s="3" t="s">
        <v>72</v>
      </c>
      <c r="H69" s="4" t="s">
        <v>462</v>
      </c>
      <c r="I69" s="3" t="s">
        <v>73</v>
      </c>
      <c r="J69" s="3" t="s">
        <v>74</v>
      </c>
      <c r="K69" s="3"/>
      <c r="L69" s="3"/>
      <c r="M69" s="30" t="s">
        <v>74</v>
      </c>
    </row>
    <row r="70" spans="1:13" ht="45.75">
      <c r="A70" s="3"/>
      <c r="B70" s="4" t="s">
        <v>465</v>
      </c>
      <c r="C70" s="58" t="s">
        <v>29</v>
      </c>
      <c r="D70" s="4" t="s">
        <v>466</v>
      </c>
      <c r="E70" s="3"/>
      <c r="F70" s="3"/>
      <c r="G70" s="3" t="s">
        <v>72</v>
      </c>
      <c r="H70" s="4" t="s">
        <v>462</v>
      </c>
      <c r="I70" s="3" t="s">
        <v>73</v>
      </c>
      <c r="J70" s="3" t="s">
        <v>74</v>
      </c>
      <c r="K70" s="3"/>
      <c r="L70" s="3"/>
      <c r="M70" s="30" t="s">
        <v>74</v>
      </c>
    </row>
    <row r="71" spans="1:13" ht="45.75">
      <c r="A71" s="3"/>
      <c r="B71" s="4" t="s">
        <v>467</v>
      </c>
      <c r="C71" s="58" t="s">
        <v>29</v>
      </c>
      <c r="D71" s="4" t="s">
        <v>468</v>
      </c>
      <c r="E71" s="3"/>
      <c r="F71" s="3"/>
      <c r="G71" s="3" t="s">
        <v>72</v>
      </c>
      <c r="H71" s="4" t="s">
        <v>462</v>
      </c>
      <c r="I71" s="3" t="s">
        <v>73</v>
      </c>
      <c r="J71" s="3" t="s">
        <v>74</v>
      </c>
      <c r="K71" s="3"/>
      <c r="L71" s="3"/>
      <c r="M71" s="30" t="s">
        <v>74</v>
      </c>
    </row>
    <row r="72" spans="1:13" ht="45.75">
      <c r="A72" s="3"/>
      <c r="B72" s="4" t="s">
        <v>469</v>
      </c>
      <c r="C72" s="58" t="s">
        <v>29</v>
      </c>
      <c r="D72" s="4" t="s">
        <v>470</v>
      </c>
      <c r="E72" s="3"/>
      <c r="F72" s="3"/>
      <c r="G72" s="3" t="s">
        <v>72</v>
      </c>
      <c r="H72" s="4" t="s">
        <v>462</v>
      </c>
      <c r="I72" s="3" t="s">
        <v>73</v>
      </c>
      <c r="J72" s="3" t="s">
        <v>74</v>
      </c>
      <c r="K72" s="3"/>
      <c r="L72" s="3"/>
      <c r="M72" s="30" t="s">
        <v>74</v>
      </c>
    </row>
    <row r="73" spans="1:13" ht="45.75">
      <c r="A73" s="3"/>
      <c r="B73" s="4" t="s">
        <v>471</v>
      </c>
      <c r="C73" s="58" t="s">
        <v>29</v>
      </c>
      <c r="D73" s="4" t="s">
        <v>472</v>
      </c>
      <c r="E73" s="3"/>
      <c r="F73" s="3"/>
      <c r="G73" s="3" t="s">
        <v>72</v>
      </c>
      <c r="H73" s="4" t="s">
        <v>462</v>
      </c>
      <c r="I73" s="3" t="s">
        <v>73</v>
      </c>
      <c r="J73" s="3" t="s">
        <v>74</v>
      </c>
      <c r="K73" s="3"/>
      <c r="L73" s="3"/>
      <c r="M73" s="30" t="s">
        <v>74</v>
      </c>
    </row>
    <row r="74" spans="1:13" ht="45.75">
      <c r="A74" s="3"/>
      <c r="B74" s="4" t="s">
        <v>473</v>
      </c>
      <c r="C74" s="58" t="s">
        <v>29</v>
      </c>
      <c r="D74" s="4" t="s">
        <v>474</v>
      </c>
      <c r="E74" s="3"/>
      <c r="F74" s="3"/>
      <c r="G74" s="3" t="s">
        <v>72</v>
      </c>
      <c r="H74" s="4" t="s">
        <v>462</v>
      </c>
      <c r="I74" s="3" t="s">
        <v>73</v>
      </c>
      <c r="J74" s="3" t="s">
        <v>74</v>
      </c>
      <c r="K74" s="3"/>
      <c r="L74" s="3"/>
      <c r="M74" s="30" t="s">
        <v>74</v>
      </c>
    </row>
    <row r="75" spans="1:13" ht="45.75">
      <c r="A75" s="3"/>
      <c r="B75" s="4" t="s">
        <v>475</v>
      </c>
      <c r="C75" s="58" t="s">
        <v>29</v>
      </c>
      <c r="D75" s="4" t="s">
        <v>476</v>
      </c>
      <c r="E75" s="3"/>
      <c r="F75" s="3"/>
      <c r="G75" s="3" t="s">
        <v>72</v>
      </c>
      <c r="H75" s="4" t="s">
        <v>462</v>
      </c>
      <c r="I75" s="3" t="s">
        <v>73</v>
      </c>
      <c r="J75" s="3" t="s">
        <v>74</v>
      </c>
      <c r="K75" s="3"/>
      <c r="L75" s="3"/>
      <c r="M75" s="30" t="s">
        <v>74</v>
      </c>
    </row>
    <row r="76" spans="1:13" ht="45.75">
      <c r="A76" s="3"/>
      <c r="B76" s="4" t="s">
        <v>477</v>
      </c>
      <c r="C76" s="58" t="s">
        <v>29</v>
      </c>
      <c r="D76" s="4" t="s">
        <v>478</v>
      </c>
      <c r="E76" s="3"/>
      <c r="F76" s="3"/>
      <c r="G76" s="3" t="s">
        <v>72</v>
      </c>
      <c r="H76" s="4" t="s">
        <v>462</v>
      </c>
      <c r="I76" s="3" t="s">
        <v>73</v>
      </c>
      <c r="J76" s="3" t="s">
        <v>74</v>
      </c>
      <c r="K76" s="3"/>
      <c r="L76" s="3"/>
      <c r="M76" s="30" t="s">
        <v>74</v>
      </c>
    </row>
    <row r="77" spans="1:13" ht="45.75">
      <c r="A77" s="3"/>
      <c r="B77" s="4" t="s">
        <v>479</v>
      </c>
      <c r="C77" s="58" t="s">
        <v>29</v>
      </c>
      <c r="D77" s="4" t="s">
        <v>480</v>
      </c>
      <c r="E77" s="3"/>
      <c r="F77" s="3"/>
      <c r="G77" s="3" t="s">
        <v>72</v>
      </c>
      <c r="H77" s="4" t="s">
        <v>462</v>
      </c>
      <c r="I77" s="3" t="s">
        <v>73</v>
      </c>
      <c r="J77" s="3" t="s">
        <v>74</v>
      </c>
      <c r="K77" s="3"/>
      <c r="L77" s="3"/>
      <c r="M77" s="30" t="s">
        <v>74</v>
      </c>
    </row>
    <row r="78" spans="1:13" ht="45.75">
      <c r="A78" s="3"/>
      <c r="B78" s="4" t="s">
        <v>481</v>
      </c>
      <c r="C78" s="58" t="s">
        <v>29</v>
      </c>
      <c r="D78" s="4" t="s">
        <v>482</v>
      </c>
      <c r="E78" s="3"/>
      <c r="F78" s="3"/>
      <c r="G78" s="3" t="s">
        <v>72</v>
      </c>
      <c r="H78" s="4" t="s">
        <v>462</v>
      </c>
      <c r="I78" s="3" t="s">
        <v>73</v>
      </c>
      <c r="J78" s="3" t="s">
        <v>74</v>
      </c>
      <c r="K78" s="3"/>
      <c r="L78" s="3"/>
      <c r="M78" s="30" t="s">
        <v>74</v>
      </c>
    </row>
    <row r="79" spans="1:13" ht="45.75">
      <c r="A79" s="3"/>
      <c r="B79" s="4" t="s">
        <v>483</v>
      </c>
      <c r="C79" s="58" t="s">
        <v>29</v>
      </c>
      <c r="D79" s="4" t="s">
        <v>484</v>
      </c>
      <c r="E79" s="3"/>
      <c r="F79" s="3"/>
      <c r="G79" s="3" t="s">
        <v>72</v>
      </c>
      <c r="H79" s="4" t="s">
        <v>462</v>
      </c>
      <c r="I79" s="3" t="s">
        <v>73</v>
      </c>
      <c r="J79" s="3" t="s">
        <v>74</v>
      </c>
      <c r="K79" s="3"/>
      <c r="L79" s="3"/>
      <c r="M79" s="30" t="s">
        <v>74</v>
      </c>
    </row>
    <row r="80" spans="1:13" ht="45.75">
      <c r="A80" s="3"/>
      <c r="B80" s="4" t="s">
        <v>485</v>
      </c>
      <c r="C80" s="58" t="s">
        <v>29</v>
      </c>
      <c r="D80" s="4" t="s">
        <v>486</v>
      </c>
      <c r="E80" s="3"/>
      <c r="F80" s="3"/>
      <c r="G80" s="3" t="s">
        <v>72</v>
      </c>
      <c r="H80" s="4" t="s">
        <v>462</v>
      </c>
      <c r="I80" s="3" t="s">
        <v>73</v>
      </c>
      <c r="J80" s="3" t="s">
        <v>74</v>
      </c>
      <c r="K80" s="3"/>
      <c r="L80" s="3"/>
      <c r="M80" s="30" t="s">
        <v>74</v>
      </c>
    </row>
    <row r="81" spans="1:13" ht="45.75">
      <c r="A81" s="3"/>
      <c r="B81" s="4" t="s">
        <v>487</v>
      </c>
      <c r="C81" s="58" t="s">
        <v>29</v>
      </c>
      <c r="D81" s="4" t="s">
        <v>488</v>
      </c>
      <c r="E81" s="3"/>
      <c r="F81" s="3"/>
      <c r="G81" s="3" t="s">
        <v>72</v>
      </c>
      <c r="H81" s="4" t="s">
        <v>462</v>
      </c>
      <c r="I81" s="3" t="s">
        <v>73</v>
      </c>
      <c r="J81" s="3" t="s">
        <v>74</v>
      </c>
      <c r="K81" s="3"/>
      <c r="L81" s="3"/>
      <c r="M81" s="30" t="s">
        <v>74</v>
      </c>
    </row>
    <row r="82" spans="1:13" ht="45.75">
      <c r="A82" s="3"/>
      <c r="B82" s="4" t="s">
        <v>489</v>
      </c>
      <c r="C82" s="58" t="s">
        <v>29</v>
      </c>
      <c r="D82" s="4" t="s">
        <v>490</v>
      </c>
      <c r="E82" s="3"/>
      <c r="F82" s="3"/>
      <c r="G82" s="3" t="s">
        <v>72</v>
      </c>
      <c r="H82" s="4" t="s">
        <v>462</v>
      </c>
      <c r="I82" s="3" t="s">
        <v>73</v>
      </c>
      <c r="J82" s="3" t="s">
        <v>74</v>
      </c>
      <c r="K82" s="3"/>
      <c r="L82" s="3"/>
      <c r="M82" s="30" t="s">
        <v>74</v>
      </c>
    </row>
    <row r="83" spans="1:13" ht="45.75">
      <c r="A83" s="3"/>
      <c r="B83" s="4" t="s">
        <v>491</v>
      </c>
      <c r="C83" s="58" t="s">
        <v>29</v>
      </c>
      <c r="D83" s="4" t="s">
        <v>492</v>
      </c>
      <c r="E83" s="3"/>
      <c r="F83" s="3"/>
      <c r="G83" s="3" t="s">
        <v>72</v>
      </c>
      <c r="H83" s="4" t="s">
        <v>462</v>
      </c>
      <c r="I83" s="3" t="s">
        <v>73</v>
      </c>
      <c r="J83" s="3" t="s">
        <v>74</v>
      </c>
      <c r="K83" s="3"/>
      <c r="L83" s="3"/>
      <c r="M83" s="30" t="s">
        <v>74</v>
      </c>
    </row>
    <row r="84" spans="1:13" ht="45.75">
      <c r="A84" s="3"/>
      <c r="B84" s="4" t="s">
        <v>493</v>
      </c>
      <c r="C84" s="58" t="s">
        <v>29</v>
      </c>
      <c r="D84" s="4" t="s">
        <v>494</v>
      </c>
      <c r="E84" s="3"/>
      <c r="F84" s="3"/>
      <c r="G84" s="3" t="s">
        <v>72</v>
      </c>
      <c r="H84" s="4" t="s">
        <v>462</v>
      </c>
      <c r="I84" s="3" t="s">
        <v>73</v>
      </c>
      <c r="J84" s="3" t="s">
        <v>74</v>
      </c>
      <c r="K84" s="3"/>
      <c r="L84" s="3"/>
      <c r="M84" s="30" t="s">
        <v>74</v>
      </c>
    </row>
    <row r="85" spans="1:13" ht="45.75">
      <c r="A85" s="3"/>
      <c r="B85" s="4" t="s">
        <v>495</v>
      </c>
      <c r="C85" s="58" t="s">
        <v>29</v>
      </c>
      <c r="D85" s="4" t="s">
        <v>496</v>
      </c>
      <c r="E85" s="3"/>
      <c r="F85" s="3"/>
      <c r="G85" s="3" t="s">
        <v>72</v>
      </c>
      <c r="H85" s="4" t="s">
        <v>462</v>
      </c>
      <c r="I85" s="3" t="s">
        <v>73</v>
      </c>
      <c r="J85" s="3" t="s">
        <v>74</v>
      </c>
      <c r="K85" s="3"/>
      <c r="L85" s="3"/>
      <c r="M85" s="30" t="s">
        <v>74</v>
      </c>
    </row>
    <row r="86" spans="1:13" ht="45.75">
      <c r="A86" s="3"/>
      <c r="B86" s="4" t="s">
        <v>497</v>
      </c>
      <c r="C86" s="58" t="s">
        <v>29</v>
      </c>
      <c r="D86" s="4" t="s">
        <v>498</v>
      </c>
      <c r="E86" s="3"/>
      <c r="F86" s="3"/>
      <c r="G86" s="3" t="s">
        <v>72</v>
      </c>
      <c r="H86" s="4" t="s">
        <v>462</v>
      </c>
      <c r="I86" s="3" t="s">
        <v>73</v>
      </c>
      <c r="J86" s="3" t="s">
        <v>74</v>
      </c>
      <c r="K86" s="3"/>
      <c r="L86" s="3"/>
      <c r="M86" s="30" t="s">
        <v>74</v>
      </c>
    </row>
    <row r="87" spans="1:13" ht="45.75">
      <c r="A87" s="3"/>
      <c r="B87" s="4" t="s">
        <v>499</v>
      </c>
      <c r="C87" s="58" t="s">
        <v>29</v>
      </c>
      <c r="D87" s="4" t="s">
        <v>500</v>
      </c>
      <c r="E87" s="3"/>
      <c r="F87" s="3"/>
      <c r="G87" s="3" t="s">
        <v>72</v>
      </c>
      <c r="H87" s="4" t="s">
        <v>462</v>
      </c>
      <c r="I87" s="3" t="s">
        <v>73</v>
      </c>
      <c r="J87" s="3" t="s">
        <v>74</v>
      </c>
      <c r="K87" s="3"/>
      <c r="L87" s="3"/>
      <c r="M87" s="30" t="s">
        <v>74</v>
      </c>
    </row>
    <row r="88" spans="1:13" ht="45.75">
      <c r="A88" s="3"/>
      <c r="B88" s="4" t="s">
        <v>501</v>
      </c>
      <c r="C88" s="58" t="s">
        <v>29</v>
      </c>
      <c r="D88" s="4" t="s">
        <v>502</v>
      </c>
      <c r="E88" s="3"/>
      <c r="F88" s="3"/>
      <c r="G88" s="3" t="s">
        <v>72</v>
      </c>
      <c r="H88" s="4" t="s">
        <v>462</v>
      </c>
      <c r="I88" s="3" t="s">
        <v>73</v>
      </c>
      <c r="J88" s="3" t="s">
        <v>74</v>
      </c>
      <c r="K88" s="3"/>
      <c r="L88" s="3"/>
      <c r="M88" s="30" t="s">
        <v>74</v>
      </c>
    </row>
    <row r="89" spans="1:13" ht="45.75">
      <c r="A89" s="3"/>
      <c r="B89" s="4" t="s">
        <v>503</v>
      </c>
      <c r="C89" s="58" t="s">
        <v>29</v>
      </c>
      <c r="D89" s="4" t="s">
        <v>504</v>
      </c>
      <c r="E89" s="3"/>
      <c r="F89" s="3"/>
      <c r="G89" s="3" t="s">
        <v>72</v>
      </c>
      <c r="H89" s="4" t="s">
        <v>462</v>
      </c>
      <c r="I89" s="3" t="s">
        <v>73</v>
      </c>
      <c r="J89" s="3" t="s">
        <v>74</v>
      </c>
      <c r="K89" s="3"/>
      <c r="L89" s="3"/>
      <c r="M89" s="30" t="s">
        <v>74</v>
      </c>
    </row>
    <row r="90" spans="1:13" ht="45.75">
      <c r="A90" s="3"/>
      <c r="B90" s="4" t="s">
        <v>505</v>
      </c>
      <c r="C90" s="58" t="s">
        <v>29</v>
      </c>
      <c r="D90" s="4" t="s">
        <v>506</v>
      </c>
      <c r="E90" s="3"/>
      <c r="F90" s="3"/>
      <c r="G90" s="3" t="s">
        <v>72</v>
      </c>
      <c r="H90" s="4" t="s">
        <v>462</v>
      </c>
      <c r="I90" s="3" t="s">
        <v>73</v>
      </c>
      <c r="J90" s="3" t="s">
        <v>74</v>
      </c>
      <c r="K90" s="3"/>
      <c r="L90" s="3"/>
      <c r="M90" s="30" t="s">
        <v>74</v>
      </c>
    </row>
    <row r="91" spans="1:13" ht="90.75">
      <c r="A91" s="3"/>
      <c r="B91" s="4" t="s">
        <v>507</v>
      </c>
      <c r="C91" s="59" t="s">
        <v>29</v>
      </c>
      <c r="D91" s="4" t="s">
        <v>508</v>
      </c>
      <c r="E91" s="3"/>
      <c r="F91" s="3"/>
      <c r="G91" s="3" t="s">
        <v>44</v>
      </c>
      <c r="H91" s="4" t="s">
        <v>509</v>
      </c>
      <c r="I91" s="3" t="s">
        <v>35</v>
      </c>
      <c r="J91" s="26" t="s">
        <v>510</v>
      </c>
      <c r="K91" s="3"/>
      <c r="L91" s="3"/>
      <c r="M91" s="34" t="s">
        <v>45</v>
      </c>
    </row>
    <row r="92" spans="1:13" ht="90.75">
      <c r="A92" s="3"/>
      <c r="B92" s="4" t="s">
        <v>511</v>
      </c>
      <c r="C92" s="59" t="s">
        <v>29</v>
      </c>
      <c r="D92" s="4" t="s">
        <v>512</v>
      </c>
      <c r="E92" s="3"/>
      <c r="F92" s="3"/>
      <c r="G92" s="3" t="s">
        <v>44</v>
      </c>
      <c r="H92" s="4" t="s">
        <v>509</v>
      </c>
      <c r="I92" s="3" t="s">
        <v>35</v>
      </c>
      <c r="J92" s="26" t="s">
        <v>510</v>
      </c>
      <c r="K92" s="3"/>
      <c r="L92" s="3"/>
      <c r="M92" s="34" t="s">
        <v>513</v>
      </c>
    </row>
    <row r="93" spans="1:13" ht="90.75">
      <c r="A93" s="3"/>
      <c r="B93" s="4" t="s">
        <v>514</v>
      </c>
      <c r="C93" s="59" t="s">
        <v>29</v>
      </c>
      <c r="D93" s="4" t="s">
        <v>515</v>
      </c>
      <c r="E93" s="3"/>
      <c r="F93" s="3"/>
      <c r="G93" s="3" t="s">
        <v>44</v>
      </c>
      <c r="H93" s="4" t="s">
        <v>509</v>
      </c>
      <c r="I93" s="3" t="s">
        <v>35</v>
      </c>
      <c r="J93" s="26" t="s">
        <v>510</v>
      </c>
      <c r="K93" s="3"/>
      <c r="L93" s="3"/>
      <c r="M93" s="34" t="s">
        <v>516</v>
      </c>
    </row>
    <row r="94" spans="1:13" ht="90.75">
      <c r="A94" s="3"/>
      <c r="B94" s="4" t="s">
        <v>517</v>
      </c>
      <c r="C94" s="59" t="s">
        <v>29</v>
      </c>
      <c r="D94" s="4" t="s">
        <v>518</v>
      </c>
      <c r="E94" s="3"/>
      <c r="F94" s="3"/>
      <c r="G94" s="3" t="s">
        <v>44</v>
      </c>
      <c r="H94" s="4" t="s">
        <v>509</v>
      </c>
      <c r="I94" s="3" t="s">
        <v>35</v>
      </c>
      <c r="J94" s="26" t="s">
        <v>510</v>
      </c>
      <c r="K94" s="3"/>
      <c r="L94" s="3"/>
      <c r="M94" s="34" t="s">
        <v>519</v>
      </c>
    </row>
    <row r="95" spans="1:13" ht="90.75">
      <c r="A95" s="3"/>
      <c r="B95" s="4" t="s">
        <v>520</v>
      </c>
      <c r="C95" s="59" t="s">
        <v>29</v>
      </c>
      <c r="D95" s="4" t="s">
        <v>521</v>
      </c>
      <c r="E95" s="3"/>
      <c r="F95" s="3"/>
      <c r="G95" s="3" t="s">
        <v>44</v>
      </c>
      <c r="H95" s="4" t="s">
        <v>509</v>
      </c>
      <c r="I95" s="3" t="s">
        <v>35</v>
      </c>
      <c r="J95" s="26" t="s">
        <v>510</v>
      </c>
      <c r="K95" s="3"/>
      <c r="L95" s="3"/>
      <c r="M95" s="34" t="s">
        <v>522</v>
      </c>
    </row>
    <row r="96" spans="1:13" ht="90.75">
      <c r="A96" s="3"/>
      <c r="B96" s="4" t="s">
        <v>523</v>
      </c>
      <c r="C96" s="59" t="s">
        <v>29</v>
      </c>
      <c r="D96" s="4" t="s">
        <v>524</v>
      </c>
      <c r="E96" s="3"/>
      <c r="F96" s="3"/>
      <c r="G96" s="3" t="s">
        <v>44</v>
      </c>
      <c r="H96" s="4" t="s">
        <v>509</v>
      </c>
      <c r="I96" s="3" t="s">
        <v>35</v>
      </c>
      <c r="J96" s="26" t="s">
        <v>510</v>
      </c>
      <c r="K96" s="3"/>
      <c r="L96" s="3"/>
      <c r="M96" s="34" t="s">
        <v>525</v>
      </c>
    </row>
    <row r="97" spans="1:13" ht="90.75">
      <c r="A97" s="3"/>
      <c r="B97" s="4" t="s">
        <v>526</v>
      </c>
      <c r="C97" s="59" t="s">
        <v>29</v>
      </c>
      <c r="D97" s="4" t="s">
        <v>527</v>
      </c>
      <c r="E97" s="3"/>
      <c r="F97" s="3"/>
      <c r="G97" s="3" t="s">
        <v>44</v>
      </c>
      <c r="H97" s="4" t="s">
        <v>509</v>
      </c>
      <c r="I97" s="3" t="s">
        <v>35</v>
      </c>
      <c r="J97" s="26" t="s">
        <v>510</v>
      </c>
      <c r="K97" s="3"/>
      <c r="L97" s="3"/>
      <c r="M97" s="34" t="s">
        <v>528</v>
      </c>
    </row>
    <row r="98" spans="1:13" ht="90.75">
      <c r="A98" s="3"/>
      <c r="B98" s="4" t="s">
        <v>529</v>
      </c>
      <c r="C98" s="59" t="s">
        <v>29</v>
      </c>
      <c r="D98" s="4" t="s">
        <v>530</v>
      </c>
      <c r="E98" s="3"/>
      <c r="F98" s="3"/>
      <c r="G98" s="3" t="s">
        <v>44</v>
      </c>
      <c r="H98" s="4" t="s">
        <v>509</v>
      </c>
      <c r="I98" s="3" t="s">
        <v>35</v>
      </c>
      <c r="J98" s="26" t="s">
        <v>510</v>
      </c>
      <c r="K98" s="3"/>
      <c r="L98" s="3"/>
      <c r="M98" s="34" t="s">
        <v>531</v>
      </c>
    </row>
    <row r="99" spans="1:13" ht="90.75">
      <c r="A99" s="3"/>
      <c r="B99" s="4" t="s">
        <v>532</v>
      </c>
      <c r="C99" s="59" t="s">
        <v>29</v>
      </c>
      <c r="D99" s="4" t="s">
        <v>533</v>
      </c>
      <c r="E99" s="3"/>
      <c r="F99" s="3"/>
      <c r="G99" s="3" t="s">
        <v>44</v>
      </c>
      <c r="H99" s="4" t="s">
        <v>509</v>
      </c>
      <c r="I99" s="3" t="s">
        <v>35</v>
      </c>
      <c r="J99" s="26" t="s">
        <v>510</v>
      </c>
      <c r="K99" s="3"/>
      <c r="L99" s="3"/>
      <c r="M99" s="34" t="s">
        <v>534</v>
      </c>
    </row>
    <row r="100" spans="1:13" ht="90.75">
      <c r="A100" s="3"/>
      <c r="B100" s="4" t="s">
        <v>535</v>
      </c>
      <c r="C100" s="59" t="s">
        <v>29</v>
      </c>
      <c r="D100" s="4" t="s">
        <v>536</v>
      </c>
      <c r="E100" s="3"/>
      <c r="F100" s="3"/>
      <c r="G100" s="3" t="s">
        <v>44</v>
      </c>
      <c r="H100" s="4" t="s">
        <v>509</v>
      </c>
      <c r="I100" s="3" t="s">
        <v>35</v>
      </c>
      <c r="J100" s="26" t="s">
        <v>510</v>
      </c>
      <c r="K100" s="3"/>
      <c r="L100" s="3"/>
      <c r="M100" s="34" t="s">
        <v>537</v>
      </c>
    </row>
    <row r="101" spans="1:13" ht="90.75">
      <c r="A101" s="3"/>
      <c r="B101" s="4" t="s">
        <v>538</v>
      </c>
      <c r="C101" s="59" t="s">
        <v>29</v>
      </c>
      <c r="D101" s="4" t="s">
        <v>539</v>
      </c>
      <c r="E101" s="3"/>
      <c r="F101" s="3"/>
      <c r="G101" s="3" t="s">
        <v>44</v>
      </c>
      <c r="H101" s="4" t="s">
        <v>509</v>
      </c>
      <c r="I101" s="3" t="s">
        <v>35</v>
      </c>
      <c r="J101" s="26" t="s">
        <v>510</v>
      </c>
      <c r="K101" s="3"/>
      <c r="L101" s="3"/>
      <c r="M101" s="34" t="s">
        <v>540</v>
      </c>
    </row>
    <row r="102" spans="1:13" ht="90.75">
      <c r="A102" s="3"/>
      <c r="B102" s="4" t="s">
        <v>541</v>
      </c>
      <c r="C102" s="59" t="s">
        <v>29</v>
      </c>
      <c r="D102" s="4" t="s">
        <v>542</v>
      </c>
      <c r="E102" s="3"/>
      <c r="F102" s="3"/>
      <c r="G102" s="3" t="s">
        <v>44</v>
      </c>
      <c r="H102" s="4" t="s">
        <v>509</v>
      </c>
      <c r="I102" s="3" t="s">
        <v>35</v>
      </c>
      <c r="J102" s="26" t="s">
        <v>510</v>
      </c>
      <c r="K102" s="3"/>
      <c r="L102" s="3"/>
      <c r="M102" s="34" t="s">
        <v>543</v>
      </c>
    </row>
    <row r="103" spans="1:13" ht="90.75">
      <c r="A103" s="3"/>
      <c r="B103" s="4" t="s">
        <v>544</v>
      </c>
      <c r="C103" s="59" t="s">
        <v>29</v>
      </c>
      <c r="D103" s="4" t="s">
        <v>545</v>
      </c>
      <c r="E103" s="3"/>
      <c r="F103" s="3"/>
      <c r="G103" s="3" t="s">
        <v>44</v>
      </c>
      <c r="H103" s="4" t="s">
        <v>509</v>
      </c>
      <c r="I103" s="3" t="s">
        <v>35</v>
      </c>
      <c r="J103" s="26" t="s">
        <v>510</v>
      </c>
      <c r="K103" s="3"/>
      <c r="L103" s="3"/>
      <c r="M103" s="34" t="s">
        <v>546</v>
      </c>
    </row>
    <row r="104" spans="1:13" ht="90.75">
      <c r="A104" s="3"/>
      <c r="B104" s="4" t="s">
        <v>547</v>
      </c>
      <c r="C104" s="59" t="s">
        <v>29</v>
      </c>
      <c r="D104" s="4" t="s">
        <v>548</v>
      </c>
      <c r="E104" s="3"/>
      <c r="F104" s="3"/>
      <c r="G104" s="3" t="s">
        <v>44</v>
      </c>
      <c r="H104" s="4" t="s">
        <v>509</v>
      </c>
      <c r="I104" s="3" t="s">
        <v>35</v>
      </c>
      <c r="J104" s="26" t="s">
        <v>510</v>
      </c>
      <c r="K104" s="3"/>
      <c r="L104" s="3"/>
      <c r="M104" s="34" t="s">
        <v>549</v>
      </c>
    </row>
    <row r="105" spans="1:13" ht="90.75">
      <c r="A105" s="3"/>
      <c r="B105" s="4" t="s">
        <v>550</v>
      </c>
      <c r="C105" s="59" t="s">
        <v>29</v>
      </c>
      <c r="D105" s="4" t="s">
        <v>551</v>
      </c>
      <c r="E105" s="3"/>
      <c r="F105" s="3"/>
      <c r="G105" s="3" t="s">
        <v>44</v>
      </c>
      <c r="H105" s="4" t="s">
        <v>509</v>
      </c>
      <c r="I105" s="3" t="s">
        <v>35</v>
      </c>
      <c r="J105" s="26" t="s">
        <v>510</v>
      </c>
      <c r="K105" s="3"/>
      <c r="L105" s="3"/>
      <c r="M105" s="34" t="s">
        <v>552</v>
      </c>
    </row>
    <row r="106" spans="1:13" ht="90.75">
      <c r="A106" s="3"/>
      <c r="B106" s="4" t="s">
        <v>553</v>
      </c>
      <c r="C106" s="59" t="s">
        <v>29</v>
      </c>
      <c r="D106" s="4" t="s">
        <v>554</v>
      </c>
      <c r="E106" s="3"/>
      <c r="F106" s="3"/>
      <c r="G106" s="3" t="s">
        <v>44</v>
      </c>
      <c r="H106" s="4" t="s">
        <v>509</v>
      </c>
      <c r="I106" s="3" t="s">
        <v>35</v>
      </c>
      <c r="J106" s="26" t="s">
        <v>510</v>
      </c>
      <c r="K106" s="3"/>
      <c r="L106" s="3"/>
      <c r="M106" s="34" t="s">
        <v>555</v>
      </c>
    </row>
    <row r="107" spans="1:13" ht="90.75">
      <c r="A107" s="3"/>
      <c r="B107" s="4" t="s">
        <v>556</v>
      </c>
      <c r="C107" s="59" t="s">
        <v>29</v>
      </c>
      <c r="D107" s="4" t="s">
        <v>557</v>
      </c>
      <c r="E107" s="3"/>
      <c r="F107" s="3"/>
      <c r="G107" s="3" t="s">
        <v>44</v>
      </c>
      <c r="H107" s="4" t="s">
        <v>509</v>
      </c>
      <c r="I107" s="3" t="s">
        <v>35</v>
      </c>
      <c r="J107" s="26" t="s">
        <v>510</v>
      </c>
      <c r="K107" s="3"/>
      <c r="L107" s="3"/>
      <c r="M107" s="34" t="s">
        <v>558</v>
      </c>
    </row>
    <row r="108" spans="1:13" ht="90.75">
      <c r="A108" s="3"/>
      <c r="B108" s="4" t="s">
        <v>559</v>
      </c>
      <c r="C108" s="59" t="s">
        <v>29</v>
      </c>
      <c r="D108" s="4" t="s">
        <v>560</v>
      </c>
      <c r="E108" s="3"/>
      <c r="F108" s="3"/>
      <c r="G108" s="3" t="s">
        <v>44</v>
      </c>
      <c r="H108" s="4" t="s">
        <v>509</v>
      </c>
      <c r="I108" s="3" t="s">
        <v>35</v>
      </c>
      <c r="J108" s="26" t="s">
        <v>510</v>
      </c>
      <c r="K108" s="3"/>
      <c r="L108" s="3"/>
      <c r="M108" s="34" t="s">
        <v>561</v>
      </c>
    </row>
    <row r="109" spans="1:13" ht="90.75">
      <c r="A109" s="3"/>
      <c r="B109" s="4" t="s">
        <v>562</v>
      </c>
      <c r="C109" s="59" t="s">
        <v>29</v>
      </c>
      <c r="D109" s="4" t="s">
        <v>563</v>
      </c>
      <c r="E109" s="3"/>
      <c r="F109" s="3"/>
      <c r="G109" s="3" t="s">
        <v>44</v>
      </c>
      <c r="H109" s="4" t="s">
        <v>509</v>
      </c>
      <c r="I109" s="3" t="s">
        <v>35</v>
      </c>
      <c r="J109" s="26" t="s">
        <v>510</v>
      </c>
      <c r="K109" s="3"/>
      <c r="L109" s="3"/>
      <c r="M109" s="34" t="s">
        <v>564</v>
      </c>
    </row>
    <row r="110" spans="1:13" ht="90.75">
      <c r="A110" s="3"/>
      <c r="B110" s="4" t="s">
        <v>565</v>
      </c>
      <c r="C110" s="59" t="s">
        <v>29</v>
      </c>
      <c r="D110" s="4" t="s">
        <v>566</v>
      </c>
      <c r="E110" s="3"/>
      <c r="F110" s="3"/>
      <c r="G110" s="3" t="s">
        <v>44</v>
      </c>
      <c r="H110" s="4" t="s">
        <v>509</v>
      </c>
      <c r="I110" s="3" t="s">
        <v>35</v>
      </c>
      <c r="J110" s="26" t="s">
        <v>510</v>
      </c>
      <c r="K110" s="3"/>
      <c r="L110" s="3"/>
      <c r="M110" s="34" t="s">
        <v>567</v>
      </c>
    </row>
    <row r="111" spans="1:13" ht="90.75">
      <c r="A111" s="3"/>
      <c r="B111" s="4" t="s">
        <v>568</v>
      </c>
      <c r="C111" s="59" t="s">
        <v>29</v>
      </c>
      <c r="D111" s="4" t="s">
        <v>569</v>
      </c>
      <c r="E111" s="3"/>
      <c r="F111" s="3"/>
      <c r="G111" s="3" t="s">
        <v>44</v>
      </c>
      <c r="H111" s="4" t="s">
        <v>509</v>
      </c>
      <c r="I111" s="3" t="s">
        <v>35</v>
      </c>
      <c r="J111" s="26" t="s">
        <v>510</v>
      </c>
      <c r="K111" s="3"/>
      <c r="L111" s="3"/>
      <c r="M111" s="34" t="s">
        <v>570</v>
      </c>
    </row>
    <row r="112" spans="1:13" ht="90.75">
      <c r="A112" s="3"/>
      <c r="B112" s="4" t="s">
        <v>571</v>
      </c>
      <c r="C112" s="59" t="s">
        <v>29</v>
      </c>
      <c r="D112" s="4" t="s">
        <v>572</v>
      </c>
      <c r="E112" s="3"/>
      <c r="F112" s="3"/>
      <c r="G112" s="3" t="s">
        <v>44</v>
      </c>
      <c r="H112" s="4" t="s">
        <v>509</v>
      </c>
      <c r="I112" s="3" t="s">
        <v>35</v>
      </c>
      <c r="J112" s="26" t="s">
        <v>510</v>
      </c>
      <c r="K112" s="3"/>
      <c r="L112" s="3"/>
      <c r="M112" s="34" t="s">
        <v>573</v>
      </c>
    </row>
    <row r="113" spans="1:13" ht="90.75">
      <c r="A113" s="3"/>
      <c r="B113" s="4" t="s">
        <v>574</v>
      </c>
      <c r="C113" s="59" t="s">
        <v>29</v>
      </c>
      <c r="D113" s="4" t="s">
        <v>575</v>
      </c>
      <c r="E113" s="3"/>
      <c r="F113" s="3"/>
      <c r="G113" s="3" t="s">
        <v>44</v>
      </c>
      <c r="H113" s="4" t="s">
        <v>509</v>
      </c>
      <c r="I113" s="3" t="s">
        <v>35</v>
      </c>
      <c r="J113" s="26" t="s">
        <v>510</v>
      </c>
      <c r="K113" s="3"/>
      <c r="L113" s="3"/>
      <c r="M113" s="34" t="s">
        <v>576</v>
      </c>
    </row>
    <row r="114" spans="1:13" ht="45.75">
      <c r="A114" s="3"/>
      <c r="B114" s="76" t="s">
        <v>577</v>
      </c>
      <c r="C114" s="75" t="s">
        <v>29</v>
      </c>
      <c r="D114" s="76" t="s">
        <v>578</v>
      </c>
      <c r="E114" s="77"/>
      <c r="F114" s="77"/>
      <c r="G114" s="77" t="s">
        <v>579</v>
      </c>
      <c r="H114" s="77" t="s">
        <v>580</v>
      </c>
      <c r="I114" s="77"/>
      <c r="J114" s="78"/>
      <c r="K114" s="77"/>
      <c r="L114" s="77"/>
      <c r="M114" s="79"/>
    </row>
    <row r="115" spans="1:13" ht="60.75">
      <c r="A115" s="3"/>
      <c r="B115" s="4" t="s">
        <v>581</v>
      </c>
      <c r="C115" s="59" t="s">
        <v>29</v>
      </c>
      <c r="D115" s="4" t="s">
        <v>582</v>
      </c>
      <c r="E115" s="3"/>
      <c r="F115" s="3"/>
      <c r="G115" s="3" t="s">
        <v>579</v>
      </c>
      <c r="H115" s="3" t="s">
        <v>580</v>
      </c>
      <c r="I115" s="3"/>
      <c r="J115" s="3"/>
      <c r="K115" s="3"/>
      <c r="L115" s="3"/>
      <c r="M115" s="30"/>
    </row>
    <row r="116" spans="1:13" ht="45.75">
      <c r="A116" s="3"/>
      <c r="B116" s="4" t="s">
        <v>583</v>
      </c>
      <c r="C116" s="59" t="s">
        <v>29</v>
      </c>
      <c r="D116" s="4" t="s">
        <v>584</v>
      </c>
      <c r="E116" s="3"/>
      <c r="F116" s="3"/>
      <c r="G116" s="3" t="s">
        <v>579</v>
      </c>
      <c r="H116" s="3" t="s">
        <v>580</v>
      </c>
      <c r="I116" s="3"/>
      <c r="J116" s="3"/>
      <c r="K116" s="3"/>
      <c r="L116" s="3"/>
      <c r="M116" s="30"/>
    </row>
    <row r="117" spans="1:13" ht="45.75">
      <c r="A117" s="3"/>
      <c r="B117" s="4" t="s">
        <v>585</v>
      </c>
      <c r="C117" s="59" t="s">
        <v>29</v>
      </c>
      <c r="D117" s="4" t="s">
        <v>586</v>
      </c>
      <c r="E117" s="3"/>
      <c r="F117" s="3"/>
      <c r="G117" s="3" t="s">
        <v>579</v>
      </c>
      <c r="H117" s="3" t="s">
        <v>580</v>
      </c>
      <c r="I117" s="3"/>
      <c r="J117" s="3"/>
      <c r="K117" s="3"/>
      <c r="L117" s="3"/>
      <c r="M117" s="30"/>
    </row>
    <row r="118" spans="1:13" ht="45.75">
      <c r="A118" s="3"/>
      <c r="B118" s="4" t="s">
        <v>587</v>
      </c>
      <c r="C118" s="59" t="s">
        <v>29</v>
      </c>
      <c r="D118" s="4" t="s">
        <v>588</v>
      </c>
      <c r="E118" s="3"/>
      <c r="F118" s="3"/>
      <c r="G118" s="3" t="s">
        <v>579</v>
      </c>
      <c r="H118" s="3" t="s">
        <v>580</v>
      </c>
      <c r="I118" s="3"/>
      <c r="J118" s="3"/>
      <c r="K118" s="3"/>
      <c r="L118" s="3"/>
      <c r="M118" s="30"/>
    </row>
    <row r="119" spans="1:13" ht="45.75">
      <c r="A119" s="3"/>
      <c r="B119" s="4" t="s">
        <v>589</v>
      </c>
      <c r="C119" s="59" t="s">
        <v>29</v>
      </c>
      <c r="D119" s="4" t="s">
        <v>590</v>
      </c>
      <c r="E119" s="3"/>
      <c r="F119" s="3"/>
      <c r="G119" s="3" t="s">
        <v>579</v>
      </c>
      <c r="H119" s="3" t="s">
        <v>580</v>
      </c>
      <c r="I119" s="3"/>
      <c r="J119" s="3"/>
      <c r="K119" s="3"/>
      <c r="L119" s="3"/>
      <c r="M119" s="30"/>
    </row>
    <row r="120" spans="1:13" ht="45.75">
      <c r="A120" s="3"/>
      <c r="B120" s="4" t="s">
        <v>29</v>
      </c>
      <c r="C120" s="60" t="s">
        <v>29</v>
      </c>
      <c r="D120" s="4" t="s">
        <v>591</v>
      </c>
      <c r="E120" s="3"/>
      <c r="F120" s="3"/>
      <c r="G120" s="3"/>
      <c r="H120" s="3"/>
      <c r="I120" s="3"/>
      <c r="J120" s="3"/>
      <c r="K120" s="3"/>
      <c r="L120" s="3"/>
      <c r="M120" s="30"/>
    </row>
    <row r="121" spans="1:13" ht="75.75">
      <c r="A121" s="3"/>
      <c r="B121" s="4" t="s">
        <v>592</v>
      </c>
      <c r="C121" s="58" t="s">
        <v>29</v>
      </c>
      <c r="D121" s="4" t="s">
        <v>593</v>
      </c>
      <c r="E121" s="3"/>
      <c r="F121" s="3"/>
      <c r="G121" s="3" t="s">
        <v>82</v>
      </c>
      <c r="H121" s="4" t="s">
        <v>594</v>
      </c>
      <c r="I121" s="3" t="s">
        <v>83</v>
      </c>
      <c r="J121" s="3" t="s">
        <v>102</v>
      </c>
      <c r="K121" s="3"/>
      <c r="L121" s="3"/>
      <c r="M121" s="4" t="s">
        <v>85</v>
      </c>
    </row>
    <row r="122" spans="1:13" ht="75.75">
      <c r="A122" s="3"/>
      <c r="B122" s="4" t="s">
        <v>595</v>
      </c>
      <c r="C122" s="58" t="s">
        <v>29</v>
      </c>
      <c r="D122" s="4" t="s">
        <v>596</v>
      </c>
      <c r="E122" s="3"/>
      <c r="F122" s="3"/>
      <c r="G122" s="3" t="s">
        <v>82</v>
      </c>
      <c r="H122" s="4" t="s">
        <v>594</v>
      </c>
      <c r="I122" s="3" t="s">
        <v>83</v>
      </c>
      <c r="J122" s="3" t="s">
        <v>102</v>
      </c>
      <c r="K122" s="3"/>
      <c r="L122" s="3"/>
      <c r="M122" s="4" t="s">
        <v>85</v>
      </c>
    </row>
    <row r="123" spans="1:13" ht="75.75">
      <c r="A123" s="3"/>
      <c r="B123" s="4" t="s">
        <v>597</v>
      </c>
      <c r="C123" s="58" t="s">
        <v>29</v>
      </c>
      <c r="D123" s="4" t="s">
        <v>598</v>
      </c>
      <c r="E123" s="3"/>
      <c r="F123" s="3"/>
      <c r="G123" s="3" t="s">
        <v>82</v>
      </c>
      <c r="H123" s="4" t="s">
        <v>594</v>
      </c>
      <c r="I123" s="3" t="s">
        <v>83</v>
      </c>
      <c r="J123" s="3" t="s">
        <v>102</v>
      </c>
      <c r="K123" s="3"/>
      <c r="L123" s="3"/>
      <c r="M123" s="4" t="s">
        <v>85</v>
      </c>
    </row>
    <row r="124" spans="1:13" ht="75.75">
      <c r="A124" s="3"/>
      <c r="B124" s="4" t="s">
        <v>599</v>
      </c>
      <c r="C124" s="58" t="s">
        <v>29</v>
      </c>
      <c r="D124" s="4" t="s">
        <v>600</v>
      </c>
      <c r="E124" s="3"/>
      <c r="F124" s="3"/>
      <c r="G124" s="3" t="s">
        <v>82</v>
      </c>
      <c r="H124" s="4" t="s">
        <v>594</v>
      </c>
      <c r="I124" s="3" t="s">
        <v>83</v>
      </c>
      <c r="J124" s="3" t="s">
        <v>102</v>
      </c>
      <c r="K124" s="3"/>
      <c r="L124" s="3"/>
      <c r="M124" s="4" t="s">
        <v>85</v>
      </c>
    </row>
    <row r="125" spans="1:13" ht="75.75">
      <c r="A125" s="3"/>
      <c r="B125" s="4" t="s">
        <v>601</v>
      </c>
      <c r="C125" s="58" t="s">
        <v>29</v>
      </c>
      <c r="D125" s="4" t="s">
        <v>602</v>
      </c>
      <c r="E125" s="3"/>
      <c r="F125" s="3"/>
      <c r="G125" s="3" t="s">
        <v>82</v>
      </c>
      <c r="H125" s="4" t="s">
        <v>594</v>
      </c>
      <c r="I125" s="3" t="s">
        <v>83</v>
      </c>
      <c r="J125" s="3" t="s">
        <v>102</v>
      </c>
      <c r="K125" s="3"/>
      <c r="L125" s="3"/>
      <c r="M125" s="4" t="s">
        <v>85</v>
      </c>
    </row>
    <row r="126" spans="1:13" ht="75.75">
      <c r="A126" s="3"/>
      <c r="B126" s="4" t="s">
        <v>603</v>
      </c>
      <c r="C126" s="58" t="s">
        <v>29</v>
      </c>
      <c r="D126" s="4" t="s">
        <v>604</v>
      </c>
      <c r="E126" s="3"/>
      <c r="F126" s="3"/>
      <c r="G126" s="3" t="s">
        <v>82</v>
      </c>
      <c r="H126" s="4" t="s">
        <v>594</v>
      </c>
      <c r="I126" s="3" t="s">
        <v>83</v>
      </c>
      <c r="J126" s="3" t="s">
        <v>102</v>
      </c>
      <c r="K126" s="3"/>
      <c r="L126" s="3"/>
      <c r="M126" s="4" t="s">
        <v>85</v>
      </c>
    </row>
    <row r="127" spans="1:13" ht="75.75">
      <c r="A127" s="3"/>
      <c r="B127" s="4" t="s">
        <v>605</v>
      </c>
      <c r="C127" s="58" t="s">
        <v>29</v>
      </c>
      <c r="D127" s="4" t="s">
        <v>606</v>
      </c>
      <c r="E127" s="3"/>
      <c r="F127" s="3"/>
      <c r="G127" s="3" t="s">
        <v>82</v>
      </c>
      <c r="H127" s="4" t="s">
        <v>594</v>
      </c>
      <c r="I127" s="3" t="s">
        <v>83</v>
      </c>
      <c r="J127" s="3" t="s">
        <v>102</v>
      </c>
      <c r="K127" s="3"/>
      <c r="L127" s="3"/>
      <c r="M127" s="4" t="s">
        <v>85</v>
      </c>
    </row>
    <row r="128" spans="1:13" ht="75.75">
      <c r="A128" s="3"/>
      <c r="B128" s="4" t="s">
        <v>607</v>
      </c>
      <c r="C128" s="58" t="s">
        <v>29</v>
      </c>
      <c r="D128" s="4" t="s">
        <v>608</v>
      </c>
      <c r="E128" s="3"/>
      <c r="F128" s="3"/>
      <c r="G128" s="3" t="s">
        <v>82</v>
      </c>
      <c r="H128" s="4" t="s">
        <v>594</v>
      </c>
      <c r="I128" s="3" t="s">
        <v>83</v>
      </c>
      <c r="J128" s="3" t="s">
        <v>102</v>
      </c>
      <c r="K128" s="3"/>
      <c r="L128" s="3"/>
      <c r="M128" s="4" t="s">
        <v>85</v>
      </c>
    </row>
    <row r="129" spans="1:13" ht="75.75">
      <c r="A129" s="3"/>
      <c r="B129" s="4" t="s">
        <v>609</v>
      </c>
      <c r="C129" s="58" t="s">
        <v>29</v>
      </c>
      <c r="D129" s="4" t="s">
        <v>610</v>
      </c>
      <c r="E129" s="3"/>
      <c r="F129" s="3"/>
      <c r="G129" s="3" t="s">
        <v>82</v>
      </c>
      <c r="H129" s="4" t="s">
        <v>594</v>
      </c>
      <c r="I129" s="3" t="s">
        <v>83</v>
      </c>
      <c r="J129" s="3" t="s">
        <v>102</v>
      </c>
      <c r="K129" s="3"/>
      <c r="L129" s="3"/>
      <c r="M129" s="4" t="s">
        <v>85</v>
      </c>
    </row>
    <row r="130" spans="1:13" ht="75.75">
      <c r="A130" s="3"/>
      <c r="B130" s="4" t="s">
        <v>611</v>
      </c>
      <c r="C130" s="58" t="s">
        <v>29</v>
      </c>
      <c r="D130" s="4" t="s">
        <v>612</v>
      </c>
      <c r="E130" s="3"/>
      <c r="F130" s="3"/>
      <c r="G130" s="3" t="s">
        <v>82</v>
      </c>
      <c r="H130" s="4" t="s">
        <v>594</v>
      </c>
      <c r="I130" s="3" t="s">
        <v>83</v>
      </c>
      <c r="J130" s="3" t="s">
        <v>102</v>
      </c>
      <c r="K130" s="3"/>
      <c r="L130" s="3"/>
      <c r="M130" s="4" t="s">
        <v>85</v>
      </c>
    </row>
    <row r="131" spans="1:13" ht="75.75">
      <c r="A131" s="3"/>
      <c r="B131" s="4" t="s">
        <v>613</v>
      </c>
      <c r="C131" s="58" t="s">
        <v>29</v>
      </c>
      <c r="D131" s="4" t="s">
        <v>614</v>
      </c>
      <c r="E131" s="3"/>
      <c r="F131" s="3"/>
      <c r="G131" s="3" t="s">
        <v>82</v>
      </c>
      <c r="H131" s="4" t="s">
        <v>594</v>
      </c>
      <c r="I131" s="3" t="s">
        <v>83</v>
      </c>
      <c r="J131" s="3" t="s">
        <v>102</v>
      </c>
      <c r="K131" s="3"/>
      <c r="L131" s="3"/>
      <c r="M131" s="4" t="s">
        <v>85</v>
      </c>
    </row>
    <row r="132" spans="1:13" ht="75.75">
      <c r="A132" s="3"/>
      <c r="B132" s="4" t="s">
        <v>615</v>
      </c>
      <c r="C132" s="58" t="s">
        <v>29</v>
      </c>
      <c r="D132" s="4" t="s">
        <v>616</v>
      </c>
      <c r="E132" s="3"/>
      <c r="F132" s="3"/>
      <c r="G132" s="3" t="s">
        <v>82</v>
      </c>
      <c r="H132" s="4" t="s">
        <v>594</v>
      </c>
      <c r="I132" s="3" t="s">
        <v>83</v>
      </c>
      <c r="J132" s="3" t="s">
        <v>102</v>
      </c>
      <c r="K132" s="3"/>
      <c r="L132" s="3"/>
      <c r="M132" s="4" t="s">
        <v>85</v>
      </c>
    </row>
    <row r="133" spans="1:13" ht="75.75">
      <c r="A133" s="3"/>
      <c r="B133" s="4" t="s">
        <v>617</v>
      </c>
      <c r="C133" s="58" t="s">
        <v>29</v>
      </c>
      <c r="D133" s="4" t="s">
        <v>618</v>
      </c>
      <c r="E133" s="3"/>
      <c r="F133" s="3"/>
      <c r="G133" s="3" t="s">
        <v>82</v>
      </c>
      <c r="H133" s="4" t="s">
        <v>594</v>
      </c>
      <c r="I133" s="3" t="s">
        <v>83</v>
      </c>
      <c r="J133" s="3" t="s">
        <v>102</v>
      </c>
      <c r="K133" s="3"/>
      <c r="L133" s="3"/>
      <c r="M133" s="4" t="s">
        <v>85</v>
      </c>
    </row>
    <row r="134" spans="1:13" ht="75.75">
      <c r="A134" s="3"/>
      <c r="B134" s="4" t="s">
        <v>619</v>
      </c>
      <c r="C134" s="58" t="s">
        <v>29</v>
      </c>
      <c r="D134" s="4" t="s">
        <v>620</v>
      </c>
      <c r="E134" s="3"/>
      <c r="F134" s="3"/>
      <c r="G134" s="3" t="s">
        <v>82</v>
      </c>
      <c r="H134" s="4" t="s">
        <v>594</v>
      </c>
      <c r="I134" s="3" t="s">
        <v>83</v>
      </c>
      <c r="J134" s="3" t="s">
        <v>102</v>
      </c>
      <c r="K134" s="3"/>
      <c r="L134" s="3"/>
      <c r="M134" s="4" t="s">
        <v>85</v>
      </c>
    </row>
    <row r="135" spans="1:13" ht="75.75">
      <c r="A135" s="3"/>
      <c r="B135" s="4" t="s">
        <v>621</v>
      </c>
      <c r="C135" s="58" t="s">
        <v>29</v>
      </c>
      <c r="D135" s="4" t="s">
        <v>622</v>
      </c>
      <c r="E135" s="3"/>
      <c r="F135" s="3"/>
      <c r="G135" s="3" t="s">
        <v>82</v>
      </c>
      <c r="H135" s="4" t="s">
        <v>594</v>
      </c>
      <c r="I135" s="3" t="s">
        <v>83</v>
      </c>
      <c r="J135" s="3" t="s">
        <v>102</v>
      </c>
      <c r="K135" s="3"/>
      <c r="L135" s="3"/>
      <c r="M135" s="4" t="s">
        <v>85</v>
      </c>
    </row>
    <row r="136" spans="1:13" ht="75.75">
      <c r="A136" s="3"/>
      <c r="B136" s="4" t="s">
        <v>623</v>
      </c>
      <c r="C136" s="58" t="s">
        <v>29</v>
      </c>
      <c r="D136" s="4" t="s">
        <v>624</v>
      </c>
      <c r="E136" s="3"/>
      <c r="F136" s="3"/>
      <c r="G136" s="3" t="s">
        <v>82</v>
      </c>
      <c r="H136" s="4" t="s">
        <v>594</v>
      </c>
      <c r="I136" s="3" t="s">
        <v>83</v>
      </c>
      <c r="J136" s="3" t="s">
        <v>102</v>
      </c>
      <c r="K136" s="3"/>
      <c r="L136" s="3"/>
      <c r="M136" s="4" t="s">
        <v>85</v>
      </c>
    </row>
    <row r="137" spans="1:13" ht="75.75">
      <c r="A137" s="3"/>
      <c r="B137" s="4" t="s">
        <v>625</v>
      </c>
      <c r="C137" s="58" t="s">
        <v>29</v>
      </c>
      <c r="D137" s="4" t="s">
        <v>626</v>
      </c>
      <c r="E137" s="3"/>
      <c r="F137" s="3"/>
      <c r="G137" s="3" t="s">
        <v>82</v>
      </c>
      <c r="H137" s="4" t="s">
        <v>594</v>
      </c>
      <c r="I137" s="3" t="s">
        <v>83</v>
      </c>
      <c r="J137" s="3" t="s">
        <v>102</v>
      </c>
      <c r="K137" s="3"/>
      <c r="L137" s="3"/>
      <c r="M137" s="4" t="s">
        <v>85</v>
      </c>
    </row>
    <row r="138" spans="1:13" ht="75.75">
      <c r="A138" s="3"/>
      <c r="B138" s="4" t="s">
        <v>627</v>
      </c>
      <c r="C138" s="58" t="s">
        <v>29</v>
      </c>
      <c r="D138" s="4" t="s">
        <v>628</v>
      </c>
      <c r="E138" s="3"/>
      <c r="F138" s="3"/>
      <c r="G138" s="3" t="s">
        <v>82</v>
      </c>
      <c r="H138" s="4" t="s">
        <v>594</v>
      </c>
      <c r="I138" s="3" t="s">
        <v>83</v>
      </c>
      <c r="J138" s="3" t="s">
        <v>102</v>
      </c>
      <c r="K138" s="3"/>
      <c r="L138" s="3"/>
      <c r="M138" s="4" t="s">
        <v>85</v>
      </c>
    </row>
    <row r="139" spans="1:13" ht="75.75">
      <c r="A139" s="3"/>
      <c r="B139" s="4" t="s">
        <v>629</v>
      </c>
      <c r="C139" s="58" t="s">
        <v>29</v>
      </c>
      <c r="D139" s="4" t="s">
        <v>630</v>
      </c>
      <c r="E139" s="3"/>
      <c r="F139" s="3"/>
      <c r="G139" s="3" t="s">
        <v>82</v>
      </c>
      <c r="H139" s="4" t="s">
        <v>594</v>
      </c>
      <c r="I139" s="3" t="s">
        <v>83</v>
      </c>
      <c r="J139" s="3" t="s">
        <v>102</v>
      </c>
      <c r="K139" s="3"/>
      <c r="L139" s="3"/>
      <c r="M139" s="4" t="s">
        <v>85</v>
      </c>
    </row>
    <row r="140" spans="1:13" ht="75.75">
      <c r="A140" s="3"/>
      <c r="B140" s="4" t="s">
        <v>631</v>
      </c>
      <c r="C140" s="58" t="s">
        <v>29</v>
      </c>
      <c r="D140" s="4" t="s">
        <v>632</v>
      </c>
      <c r="E140" s="3"/>
      <c r="F140" s="3"/>
      <c r="G140" s="3" t="s">
        <v>82</v>
      </c>
      <c r="H140" s="4" t="s">
        <v>594</v>
      </c>
      <c r="I140" s="3" t="s">
        <v>83</v>
      </c>
      <c r="J140" s="3" t="s">
        <v>102</v>
      </c>
      <c r="K140" s="3"/>
      <c r="L140" s="3"/>
      <c r="M140" s="4" t="s">
        <v>85</v>
      </c>
    </row>
    <row r="141" spans="1:13" ht="75.75">
      <c r="A141" s="3"/>
      <c r="B141" s="4" t="s">
        <v>633</v>
      </c>
      <c r="C141" s="58" t="s">
        <v>29</v>
      </c>
      <c r="D141" s="4" t="s">
        <v>634</v>
      </c>
      <c r="E141" s="3"/>
      <c r="F141" s="3"/>
      <c r="G141" s="3" t="s">
        <v>82</v>
      </c>
      <c r="H141" s="4" t="s">
        <v>594</v>
      </c>
      <c r="I141" s="3" t="s">
        <v>83</v>
      </c>
      <c r="J141" s="3" t="s">
        <v>102</v>
      </c>
      <c r="K141" s="3"/>
      <c r="L141" s="3"/>
      <c r="M141" s="4" t="s">
        <v>85</v>
      </c>
    </row>
    <row r="142" spans="1:13" ht="75.75">
      <c r="A142" s="3"/>
      <c r="B142" s="4" t="s">
        <v>635</v>
      </c>
      <c r="C142" s="58" t="s">
        <v>29</v>
      </c>
      <c r="D142" s="4" t="s">
        <v>636</v>
      </c>
      <c r="E142" s="3"/>
      <c r="F142" s="3"/>
      <c r="G142" s="3" t="s">
        <v>82</v>
      </c>
      <c r="H142" s="4" t="s">
        <v>594</v>
      </c>
      <c r="I142" s="3" t="s">
        <v>83</v>
      </c>
      <c r="J142" s="3" t="s">
        <v>102</v>
      </c>
      <c r="K142" s="3"/>
      <c r="L142" s="3"/>
      <c r="M142" s="4" t="s">
        <v>85</v>
      </c>
    </row>
    <row r="143" spans="1:13" ht="60.75">
      <c r="A143" s="3"/>
      <c r="B143" s="4" t="s">
        <v>637</v>
      </c>
      <c r="C143" s="59" t="s">
        <v>29</v>
      </c>
      <c r="D143" s="4" t="s">
        <v>638</v>
      </c>
      <c r="E143" s="3"/>
      <c r="F143" s="3"/>
      <c r="G143" s="3" t="s">
        <v>52</v>
      </c>
      <c r="H143" s="4" t="s">
        <v>639</v>
      </c>
      <c r="I143" s="4" t="s">
        <v>640</v>
      </c>
      <c r="J143" s="3" t="s">
        <v>641</v>
      </c>
      <c r="K143" s="3"/>
      <c r="L143" s="3"/>
      <c r="M143" s="30" t="s">
        <v>55</v>
      </c>
    </row>
    <row r="144" spans="1:13" ht="60.75">
      <c r="A144" s="3"/>
      <c r="B144" s="4" t="s">
        <v>642</v>
      </c>
      <c r="C144" s="59" t="s">
        <v>29</v>
      </c>
      <c r="D144" s="4" t="s">
        <v>643</v>
      </c>
      <c r="E144" s="3"/>
      <c r="F144" s="3"/>
      <c r="G144" s="3" t="s">
        <v>52</v>
      </c>
      <c r="H144" s="4" t="s">
        <v>639</v>
      </c>
      <c r="I144" s="4" t="s">
        <v>640</v>
      </c>
      <c r="J144" s="3" t="s">
        <v>641</v>
      </c>
      <c r="K144" s="3"/>
      <c r="L144" s="3"/>
      <c r="M144" s="30" t="s">
        <v>55</v>
      </c>
    </row>
    <row r="145" spans="1:13" ht="60.75">
      <c r="A145" s="3"/>
      <c r="B145" s="4" t="s">
        <v>644</v>
      </c>
      <c r="C145" s="59" t="s">
        <v>29</v>
      </c>
      <c r="D145" s="4" t="s">
        <v>645</v>
      </c>
      <c r="E145" s="3"/>
      <c r="F145" s="3"/>
      <c r="G145" s="3" t="s">
        <v>52</v>
      </c>
      <c r="H145" s="4" t="s">
        <v>639</v>
      </c>
      <c r="I145" s="4" t="s">
        <v>640</v>
      </c>
      <c r="J145" s="3" t="s">
        <v>641</v>
      </c>
      <c r="K145" s="3"/>
      <c r="L145" s="3"/>
      <c r="M145" s="30" t="s">
        <v>55</v>
      </c>
    </row>
    <row r="146" spans="1:13" ht="60.75">
      <c r="A146" s="3"/>
      <c r="B146" s="4" t="s">
        <v>646</v>
      </c>
      <c r="C146" s="59" t="s">
        <v>29</v>
      </c>
      <c r="D146" s="4" t="s">
        <v>647</v>
      </c>
      <c r="E146" s="3"/>
      <c r="F146" s="3"/>
      <c r="G146" s="3" t="s">
        <v>52</v>
      </c>
      <c r="H146" s="4" t="s">
        <v>639</v>
      </c>
      <c r="I146" s="4" t="s">
        <v>640</v>
      </c>
      <c r="J146" s="3" t="s">
        <v>641</v>
      </c>
      <c r="K146" s="3"/>
      <c r="L146" s="3"/>
      <c r="M146" s="30" t="s">
        <v>55</v>
      </c>
    </row>
    <row r="147" spans="1:13" ht="60.75">
      <c r="A147" s="3"/>
      <c r="B147" s="4" t="s">
        <v>648</v>
      </c>
      <c r="C147" s="59" t="s">
        <v>29</v>
      </c>
      <c r="D147" s="4" t="s">
        <v>649</v>
      </c>
      <c r="E147" s="3"/>
      <c r="F147" s="3"/>
      <c r="G147" s="3" t="s">
        <v>52</v>
      </c>
      <c r="H147" s="4" t="s">
        <v>639</v>
      </c>
      <c r="I147" s="4" t="s">
        <v>640</v>
      </c>
      <c r="J147" s="3" t="s">
        <v>641</v>
      </c>
      <c r="K147" s="3"/>
      <c r="L147" s="3"/>
      <c r="M147" s="30" t="s">
        <v>55</v>
      </c>
    </row>
    <row r="148" spans="1:13" ht="60.75">
      <c r="A148" s="3"/>
      <c r="B148" s="4" t="s">
        <v>650</v>
      </c>
      <c r="C148" s="59" t="s">
        <v>29</v>
      </c>
      <c r="D148" s="4" t="s">
        <v>651</v>
      </c>
      <c r="E148" s="3"/>
      <c r="F148" s="3"/>
      <c r="G148" s="3" t="s">
        <v>52</v>
      </c>
      <c r="H148" s="4" t="s">
        <v>639</v>
      </c>
      <c r="I148" s="4" t="s">
        <v>640</v>
      </c>
      <c r="J148" s="3" t="s">
        <v>641</v>
      </c>
      <c r="K148" s="3"/>
      <c r="L148" s="3"/>
      <c r="M148" s="30" t="s">
        <v>55</v>
      </c>
    </row>
    <row r="149" spans="1:13" ht="45.75">
      <c r="A149" s="3"/>
      <c r="B149" s="4" t="s">
        <v>652</v>
      </c>
      <c r="C149" s="59" t="s">
        <v>29</v>
      </c>
      <c r="D149" s="4" t="s">
        <v>653</v>
      </c>
      <c r="E149" s="3"/>
      <c r="F149" s="3"/>
      <c r="G149" s="3" t="s">
        <v>52</v>
      </c>
      <c r="H149" s="4" t="s">
        <v>639</v>
      </c>
      <c r="I149" s="4" t="s">
        <v>640</v>
      </c>
      <c r="J149" s="3" t="s">
        <v>641</v>
      </c>
      <c r="K149" s="3"/>
      <c r="L149" s="3"/>
      <c r="M149" s="30" t="s">
        <v>55</v>
      </c>
    </row>
    <row r="150" spans="1:13" ht="45.75">
      <c r="A150" s="3"/>
      <c r="B150" s="4" t="s">
        <v>654</v>
      </c>
      <c r="C150" s="59" t="s">
        <v>29</v>
      </c>
      <c r="D150" s="4" t="s">
        <v>655</v>
      </c>
      <c r="E150" s="3"/>
      <c r="F150" s="3"/>
      <c r="G150" s="3" t="s">
        <v>52</v>
      </c>
      <c r="H150" s="4" t="s">
        <v>639</v>
      </c>
      <c r="I150" s="4" t="s">
        <v>640</v>
      </c>
      <c r="J150" s="3" t="s">
        <v>641</v>
      </c>
      <c r="K150" s="3"/>
      <c r="L150" s="3"/>
      <c r="M150" s="30" t="s">
        <v>55</v>
      </c>
    </row>
    <row r="151" spans="1:13" ht="45.75">
      <c r="A151" s="3"/>
      <c r="B151" s="4" t="s">
        <v>656</v>
      </c>
      <c r="C151" s="59" t="s">
        <v>29</v>
      </c>
      <c r="D151" s="4" t="s">
        <v>657</v>
      </c>
      <c r="E151" s="3"/>
      <c r="F151" s="3"/>
      <c r="G151" s="3" t="s">
        <v>52</v>
      </c>
      <c r="H151" s="4" t="s">
        <v>639</v>
      </c>
      <c r="I151" s="4" t="s">
        <v>640</v>
      </c>
      <c r="J151" s="3" t="s">
        <v>641</v>
      </c>
      <c r="K151" s="3"/>
      <c r="L151" s="3"/>
      <c r="M151" s="30" t="s">
        <v>55</v>
      </c>
    </row>
    <row r="152" spans="1:13" ht="45.75">
      <c r="A152" s="3"/>
      <c r="B152" s="4" t="s">
        <v>658</v>
      </c>
      <c r="C152" s="59" t="s">
        <v>29</v>
      </c>
      <c r="D152" s="4" t="s">
        <v>659</v>
      </c>
      <c r="E152" s="3"/>
      <c r="F152" s="3"/>
      <c r="G152" s="3" t="s">
        <v>52</v>
      </c>
      <c r="H152" s="4" t="s">
        <v>639</v>
      </c>
      <c r="I152" s="4" t="s">
        <v>640</v>
      </c>
      <c r="J152" s="3" t="s">
        <v>641</v>
      </c>
      <c r="K152" s="3"/>
      <c r="L152" s="3"/>
      <c r="M152" s="30" t="s">
        <v>55</v>
      </c>
    </row>
    <row r="153" spans="1:13" ht="45.75">
      <c r="A153" s="3"/>
      <c r="B153" s="4" t="s">
        <v>660</v>
      </c>
      <c r="C153" s="59" t="s">
        <v>29</v>
      </c>
      <c r="D153" s="4" t="s">
        <v>661</v>
      </c>
      <c r="E153" s="3"/>
      <c r="F153" s="3"/>
      <c r="G153" s="3" t="s">
        <v>52</v>
      </c>
      <c r="H153" s="4" t="s">
        <v>639</v>
      </c>
      <c r="I153" s="4" t="s">
        <v>640</v>
      </c>
      <c r="J153" s="3" t="s">
        <v>641</v>
      </c>
      <c r="K153" s="3"/>
      <c r="L153" s="3"/>
      <c r="M153" s="30" t="s">
        <v>55</v>
      </c>
    </row>
    <row r="154" spans="1:13" ht="45.75">
      <c r="A154" s="3"/>
      <c r="B154" s="4" t="s">
        <v>662</v>
      </c>
      <c r="C154" s="59" t="s">
        <v>29</v>
      </c>
      <c r="D154" s="4" t="s">
        <v>663</v>
      </c>
      <c r="E154" s="3"/>
      <c r="F154" s="3"/>
      <c r="G154" s="3" t="s">
        <v>52</v>
      </c>
      <c r="H154" s="4" t="s">
        <v>639</v>
      </c>
      <c r="I154" s="4" t="s">
        <v>640</v>
      </c>
      <c r="J154" s="3" t="s">
        <v>641</v>
      </c>
      <c r="K154" s="3"/>
      <c r="L154" s="3"/>
      <c r="M154" s="30" t="s">
        <v>55</v>
      </c>
    </row>
    <row r="155" spans="1:13" ht="45.75">
      <c r="A155" s="3"/>
      <c r="B155" s="4" t="s">
        <v>664</v>
      </c>
      <c r="C155" s="59" t="s">
        <v>29</v>
      </c>
      <c r="D155" s="4" t="s">
        <v>665</v>
      </c>
      <c r="E155" s="3"/>
      <c r="F155" s="3"/>
      <c r="G155" s="3" t="s">
        <v>52</v>
      </c>
      <c r="H155" s="4" t="s">
        <v>639</v>
      </c>
      <c r="I155" s="4" t="s">
        <v>640</v>
      </c>
      <c r="J155" s="3" t="s">
        <v>641</v>
      </c>
      <c r="K155" s="3"/>
      <c r="L155" s="3"/>
      <c r="M155" s="30" t="s">
        <v>55</v>
      </c>
    </row>
    <row r="156" spans="1:13" ht="45.75">
      <c r="A156" s="3"/>
      <c r="B156" s="4" t="s">
        <v>666</v>
      </c>
      <c r="C156" s="59" t="s">
        <v>29</v>
      </c>
      <c r="D156" s="4" t="s">
        <v>667</v>
      </c>
      <c r="E156" s="3"/>
      <c r="F156" s="3"/>
      <c r="G156" s="3" t="s">
        <v>52</v>
      </c>
      <c r="H156" s="4" t="s">
        <v>639</v>
      </c>
      <c r="I156" s="4" t="s">
        <v>640</v>
      </c>
      <c r="J156" s="3" t="s">
        <v>641</v>
      </c>
      <c r="K156" s="3"/>
      <c r="L156" s="3"/>
      <c r="M156" s="30" t="s">
        <v>55</v>
      </c>
    </row>
    <row r="157" spans="1:13" ht="45.75">
      <c r="A157" s="3"/>
      <c r="B157" s="4" t="s">
        <v>668</v>
      </c>
      <c r="C157" s="59" t="s">
        <v>29</v>
      </c>
      <c r="D157" s="4" t="s">
        <v>669</v>
      </c>
      <c r="E157" s="3"/>
      <c r="F157" s="3"/>
      <c r="G157" s="3" t="s">
        <v>52</v>
      </c>
      <c r="H157" s="4" t="s">
        <v>639</v>
      </c>
      <c r="I157" s="4" t="s">
        <v>640</v>
      </c>
      <c r="J157" s="3" t="s">
        <v>641</v>
      </c>
      <c r="K157" s="3"/>
      <c r="L157" s="3"/>
      <c r="M157" s="30" t="s">
        <v>55</v>
      </c>
    </row>
    <row r="158" spans="1:13" ht="45.75">
      <c r="A158" s="3"/>
      <c r="B158" s="4" t="s">
        <v>670</v>
      </c>
      <c r="C158" s="59" t="s">
        <v>29</v>
      </c>
      <c r="D158" s="4" t="s">
        <v>671</v>
      </c>
      <c r="E158" s="3"/>
      <c r="F158" s="3"/>
      <c r="G158" s="3" t="s">
        <v>52</v>
      </c>
      <c r="H158" s="4" t="s">
        <v>639</v>
      </c>
      <c r="I158" s="4" t="s">
        <v>640</v>
      </c>
      <c r="J158" s="3" t="s">
        <v>641</v>
      </c>
      <c r="K158" s="3"/>
      <c r="L158" s="3"/>
      <c r="M158" s="30" t="s">
        <v>55</v>
      </c>
    </row>
    <row r="159" spans="1:13" ht="45.75">
      <c r="A159" s="3"/>
      <c r="B159" s="4" t="s">
        <v>672</v>
      </c>
      <c r="C159" s="59" t="s">
        <v>29</v>
      </c>
      <c r="D159" s="4" t="s">
        <v>673</v>
      </c>
      <c r="E159" s="3"/>
      <c r="F159" s="3"/>
      <c r="G159" s="3" t="s">
        <v>52</v>
      </c>
      <c r="H159" s="4" t="s">
        <v>639</v>
      </c>
      <c r="I159" s="4" t="s">
        <v>640</v>
      </c>
      <c r="J159" s="3" t="s">
        <v>641</v>
      </c>
      <c r="K159" s="3"/>
      <c r="L159" s="3"/>
      <c r="M159" s="30" t="s">
        <v>55</v>
      </c>
    </row>
    <row r="160" spans="1:13" ht="45.75">
      <c r="A160" s="3"/>
      <c r="B160" s="4" t="s">
        <v>674</v>
      </c>
      <c r="C160" s="59" t="s">
        <v>29</v>
      </c>
      <c r="D160" s="4" t="s">
        <v>675</v>
      </c>
      <c r="E160" s="3"/>
      <c r="F160" s="3"/>
      <c r="G160" s="3" t="s">
        <v>52</v>
      </c>
      <c r="H160" s="4" t="s">
        <v>639</v>
      </c>
      <c r="I160" s="4" t="s">
        <v>640</v>
      </c>
      <c r="J160" s="3" t="s">
        <v>641</v>
      </c>
      <c r="K160" s="3"/>
      <c r="L160" s="3"/>
      <c r="M160" s="30" t="s">
        <v>55</v>
      </c>
    </row>
    <row r="161" spans="1:13" ht="45.75">
      <c r="A161" s="3"/>
      <c r="B161" s="4" t="s">
        <v>676</v>
      </c>
      <c r="C161" s="59" t="s">
        <v>29</v>
      </c>
      <c r="D161" s="4" t="s">
        <v>677</v>
      </c>
      <c r="E161" s="3"/>
      <c r="F161" s="3"/>
      <c r="G161" s="3" t="s">
        <v>52</v>
      </c>
      <c r="H161" s="4" t="s">
        <v>639</v>
      </c>
      <c r="I161" s="4" t="s">
        <v>640</v>
      </c>
      <c r="J161" s="3" t="s">
        <v>641</v>
      </c>
      <c r="K161" s="3"/>
      <c r="L161" s="3"/>
      <c r="M161" s="30" t="s">
        <v>55</v>
      </c>
    </row>
    <row r="162" spans="1:13" ht="45.75">
      <c r="A162" s="3"/>
      <c r="B162" s="4" t="s">
        <v>678</v>
      </c>
      <c r="C162" s="59" t="s">
        <v>29</v>
      </c>
      <c r="D162" s="4" t="s">
        <v>679</v>
      </c>
      <c r="E162" s="3"/>
      <c r="F162" s="3"/>
      <c r="G162" s="3" t="s">
        <v>52</v>
      </c>
      <c r="H162" s="4" t="s">
        <v>639</v>
      </c>
      <c r="I162" s="4" t="s">
        <v>640</v>
      </c>
      <c r="J162" s="3" t="s">
        <v>641</v>
      </c>
      <c r="K162" s="3"/>
      <c r="L162" s="3"/>
      <c r="M162" s="30" t="s">
        <v>55</v>
      </c>
    </row>
    <row r="163" spans="1:13" ht="45.75">
      <c r="A163" s="3"/>
      <c r="B163" s="4" t="s">
        <v>680</v>
      </c>
      <c r="C163" s="59" t="s">
        <v>29</v>
      </c>
      <c r="D163" s="4" t="s">
        <v>681</v>
      </c>
      <c r="E163" s="3"/>
      <c r="F163" s="3"/>
      <c r="G163" s="3" t="s">
        <v>52</v>
      </c>
      <c r="H163" s="4" t="s">
        <v>639</v>
      </c>
      <c r="I163" s="4" t="s">
        <v>640</v>
      </c>
      <c r="J163" s="3" t="s">
        <v>641</v>
      </c>
      <c r="K163" s="3"/>
      <c r="L163" s="3"/>
      <c r="M163" s="30" t="s">
        <v>55</v>
      </c>
    </row>
    <row r="164" spans="1:13" ht="45.75">
      <c r="A164" s="3"/>
      <c r="B164" s="4" t="s">
        <v>682</v>
      </c>
      <c r="C164" s="59" t="s">
        <v>29</v>
      </c>
      <c r="D164" s="4" t="s">
        <v>683</v>
      </c>
      <c r="E164" s="3"/>
      <c r="F164" s="3"/>
      <c r="G164" s="3" t="s">
        <v>52</v>
      </c>
      <c r="H164" s="4" t="s">
        <v>639</v>
      </c>
      <c r="I164" s="4" t="s">
        <v>640</v>
      </c>
      <c r="J164" s="3" t="s">
        <v>641</v>
      </c>
      <c r="K164" s="3"/>
      <c r="L164" s="3"/>
      <c r="M164" s="30" t="s">
        <v>55</v>
      </c>
    </row>
    <row r="165" spans="1:13" ht="45.75">
      <c r="A165" s="3"/>
      <c r="B165" s="4" t="s">
        <v>684</v>
      </c>
      <c r="C165" s="59" t="s">
        <v>29</v>
      </c>
      <c r="D165" s="4" t="s">
        <v>685</v>
      </c>
      <c r="E165" s="3"/>
      <c r="F165" s="3"/>
      <c r="G165" s="3" t="s">
        <v>52</v>
      </c>
      <c r="H165" s="4" t="s">
        <v>639</v>
      </c>
      <c r="I165" s="4" t="s">
        <v>640</v>
      </c>
      <c r="J165" s="3" t="s">
        <v>641</v>
      </c>
      <c r="K165" s="3"/>
      <c r="L165" s="3"/>
      <c r="M165" s="30" t="s">
        <v>55</v>
      </c>
    </row>
    <row r="166" spans="1:13" ht="45.75">
      <c r="A166" s="3"/>
      <c r="B166" s="4" t="s">
        <v>686</v>
      </c>
      <c r="C166" s="59" t="s">
        <v>29</v>
      </c>
      <c r="D166" s="4" t="s">
        <v>687</v>
      </c>
      <c r="E166" s="3"/>
      <c r="F166" s="3"/>
      <c r="G166" s="3" t="s">
        <v>52</v>
      </c>
      <c r="H166" s="4" t="s">
        <v>639</v>
      </c>
      <c r="I166" s="4" t="s">
        <v>640</v>
      </c>
      <c r="J166" s="3" t="s">
        <v>641</v>
      </c>
      <c r="K166" s="3"/>
      <c r="L166" s="3"/>
      <c r="M166" s="30" t="s">
        <v>55</v>
      </c>
    </row>
    <row r="167" spans="1:13" ht="45.75">
      <c r="A167" s="3"/>
      <c r="B167" s="4" t="s">
        <v>688</v>
      </c>
      <c r="C167" s="59" t="s">
        <v>115</v>
      </c>
      <c r="D167" s="4" t="s">
        <v>689</v>
      </c>
      <c r="E167" s="3"/>
      <c r="F167" s="3"/>
      <c r="G167" s="3" t="s">
        <v>119</v>
      </c>
      <c r="H167" s="3" t="s">
        <v>120</v>
      </c>
      <c r="I167" s="3" t="s">
        <v>121</v>
      </c>
      <c r="J167" s="3" t="s">
        <v>122</v>
      </c>
      <c r="K167" s="3"/>
      <c r="L167" s="3"/>
      <c r="M167" s="34" t="s">
        <v>124</v>
      </c>
    </row>
    <row r="168" spans="1:13" ht="45.75">
      <c r="A168" s="3"/>
      <c r="B168" s="4" t="s">
        <v>690</v>
      </c>
      <c r="C168" s="59" t="s">
        <v>115</v>
      </c>
      <c r="D168" s="4" t="s">
        <v>691</v>
      </c>
      <c r="E168" s="3"/>
      <c r="F168" s="3"/>
      <c r="G168" s="3" t="s">
        <v>119</v>
      </c>
      <c r="H168" s="3" t="s">
        <v>120</v>
      </c>
      <c r="I168" s="3" t="s">
        <v>121</v>
      </c>
      <c r="J168" s="3" t="s">
        <v>122</v>
      </c>
      <c r="K168" s="3"/>
      <c r="L168" s="3"/>
      <c r="M168" s="34" t="s">
        <v>124</v>
      </c>
    </row>
    <row r="169" spans="1:13" ht="45.75">
      <c r="A169" s="3"/>
      <c r="B169" s="4" t="s">
        <v>692</v>
      </c>
      <c r="C169" s="59" t="s">
        <v>115</v>
      </c>
      <c r="D169" s="4" t="s">
        <v>693</v>
      </c>
      <c r="E169" s="3"/>
      <c r="F169" s="3"/>
      <c r="G169" s="3" t="s">
        <v>119</v>
      </c>
      <c r="H169" s="3" t="s">
        <v>120</v>
      </c>
      <c r="I169" s="3" t="s">
        <v>121</v>
      </c>
      <c r="J169" s="3" t="s">
        <v>122</v>
      </c>
      <c r="K169" s="3"/>
      <c r="L169" s="3"/>
      <c r="M169" s="34" t="s">
        <v>124</v>
      </c>
    </row>
    <row r="170" spans="1:13" ht="45.75">
      <c r="A170" s="3"/>
      <c r="B170" s="4" t="s">
        <v>694</v>
      </c>
      <c r="C170" s="59" t="s">
        <v>115</v>
      </c>
      <c r="D170" s="4" t="s">
        <v>695</v>
      </c>
      <c r="E170" s="3"/>
      <c r="F170" s="3"/>
      <c r="G170" s="3" t="s">
        <v>119</v>
      </c>
      <c r="H170" s="3" t="s">
        <v>120</v>
      </c>
      <c r="I170" s="3" t="s">
        <v>121</v>
      </c>
      <c r="J170" s="3" t="s">
        <v>122</v>
      </c>
      <c r="K170" s="3"/>
      <c r="L170" s="3"/>
      <c r="M170" s="34" t="s">
        <v>124</v>
      </c>
    </row>
    <row r="171" spans="1:13" ht="45.75">
      <c r="A171" s="3"/>
      <c r="B171" s="4" t="s">
        <v>696</v>
      </c>
      <c r="C171" s="59" t="s">
        <v>115</v>
      </c>
      <c r="D171" s="4" t="s">
        <v>697</v>
      </c>
      <c r="E171" s="3"/>
      <c r="F171" s="3"/>
      <c r="G171" s="3" t="s">
        <v>119</v>
      </c>
      <c r="H171" s="3" t="s">
        <v>120</v>
      </c>
      <c r="I171" s="3" t="s">
        <v>121</v>
      </c>
      <c r="J171" s="3" t="s">
        <v>122</v>
      </c>
      <c r="K171" s="3"/>
      <c r="L171" s="3"/>
      <c r="M171" s="34" t="s">
        <v>124</v>
      </c>
    </row>
    <row r="172" spans="1:13" ht="45.75">
      <c r="A172" s="3"/>
      <c r="B172" s="4" t="s">
        <v>698</v>
      </c>
      <c r="C172" s="59" t="s">
        <v>115</v>
      </c>
      <c r="D172" s="4" t="s">
        <v>699</v>
      </c>
      <c r="E172" s="3"/>
      <c r="F172" s="3"/>
      <c r="G172" s="3" t="s">
        <v>119</v>
      </c>
      <c r="H172" s="3" t="s">
        <v>120</v>
      </c>
      <c r="I172" s="3" t="s">
        <v>121</v>
      </c>
      <c r="J172" s="3" t="s">
        <v>122</v>
      </c>
      <c r="K172" s="3"/>
      <c r="L172" s="3"/>
      <c r="M172" s="34" t="s">
        <v>124</v>
      </c>
    </row>
    <row r="173" spans="1:13" ht="45.75">
      <c r="A173" s="3"/>
      <c r="B173" s="4" t="s">
        <v>700</v>
      </c>
      <c r="C173" s="59" t="s">
        <v>115</v>
      </c>
      <c r="D173" s="4" t="s">
        <v>701</v>
      </c>
      <c r="E173" s="3"/>
      <c r="F173" s="3"/>
      <c r="G173" s="3" t="s">
        <v>702</v>
      </c>
      <c r="H173" s="3" t="s">
        <v>120</v>
      </c>
      <c r="I173" s="3" t="s">
        <v>121</v>
      </c>
      <c r="J173" s="3" t="s">
        <v>122</v>
      </c>
      <c r="K173" s="3"/>
      <c r="L173" s="3"/>
      <c r="M173" s="30" t="s">
        <v>138</v>
      </c>
    </row>
    <row r="174" spans="1:13" ht="45.75">
      <c r="A174" s="3"/>
      <c r="B174" s="4" t="s">
        <v>703</v>
      </c>
      <c r="C174" s="59" t="s">
        <v>115</v>
      </c>
      <c r="D174" s="4" t="s">
        <v>704</v>
      </c>
      <c r="E174" s="3"/>
      <c r="F174" s="3"/>
      <c r="G174" s="3" t="s">
        <v>705</v>
      </c>
      <c r="H174" s="3" t="s">
        <v>120</v>
      </c>
      <c r="I174" s="3" t="s">
        <v>121</v>
      </c>
      <c r="J174" s="3" t="s">
        <v>122</v>
      </c>
      <c r="K174" s="3"/>
      <c r="L174" s="3"/>
      <c r="M174" s="30" t="s">
        <v>138</v>
      </c>
    </row>
    <row r="175" spans="1:13" ht="45.75">
      <c r="A175" s="3"/>
      <c r="B175" s="4" t="s">
        <v>706</v>
      </c>
      <c r="C175" s="59" t="s">
        <v>115</v>
      </c>
      <c r="D175" s="4" t="s">
        <v>707</v>
      </c>
      <c r="E175" s="3"/>
      <c r="F175" s="3"/>
      <c r="G175" s="3" t="s">
        <v>708</v>
      </c>
      <c r="H175" s="3" t="s">
        <v>120</v>
      </c>
      <c r="I175" s="3" t="s">
        <v>121</v>
      </c>
      <c r="J175" s="3" t="s">
        <v>122</v>
      </c>
      <c r="K175" s="3"/>
      <c r="L175" s="3"/>
      <c r="M175" s="30" t="s">
        <v>138</v>
      </c>
    </row>
    <row r="176" spans="1:13" ht="45.75">
      <c r="A176" s="3"/>
      <c r="B176" s="4" t="s">
        <v>709</v>
      </c>
      <c r="C176" s="59" t="s">
        <v>115</v>
      </c>
      <c r="D176" s="4" t="s">
        <v>710</v>
      </c>
      <c r="E176" s="3"/>
      <c r="F176" s="3"/>
      <c r="G176" s="3" t="s">
        <v>711</v>
      </c>
      <c r="H176" s="3" t="s">
        <v>120</v>
      </c>
      <c r="I176" s="3" t="s">
        <v>121</v>
      </c>
      <c r="J176" s="3" t="s">
        <v>122</v>
      </c>
      <c r="K176" s="3"/>
      <c r="L176" s="3"/>
      <c r="M176" s="30" t="s">
        <v>138</v>
      </c>
    </row>
    <row r="177" spans="1:13" ht="45.75">
      <c r="A177" s="3"/>
      <c r="B177" s="4" t="s">
        <v>712</v>
      </c>
      <c r="C177" s="59" t="s">
        <v>115</v>
      </c>
      <c r="D177" s="4" t="s">
        <v>713</v>
      </c>
      <c r="E177" s="3"/>
      <c r="F177" s="3"/>
      <c r="G177" s="3" t="s">
        <v>714</v>
      </c>
      <c r="H177" s="3" t="s">
        <v>120</v>
      </c>
      <c r="I177" s="3" t="s">
        <v>121</v>
      </c>
      <c r="J177" s="3" t="s">
        <v>122</v>
      </c>
      <c r="K177" s="3"/>
      <c r="L177" s="3"/>
      <c r="M177" s="30" t="s">
        <v>138</v>
      </c>
    </row>
    <row r="178" spans="1:13" ht="45.75">
      <c r="A178" s="3"/>
      <c r="B178" s="4" t="s">
        <v>715</v>
      </c>
      <c r="C178" s="59" t="s">
        <v>115</v>
      </c>
      <c r="D178" s="4" t="s">
        <v>716</v>
      </c>
      <c r="E178" s="3"/>
      <c r="F178" s="3"/>
      <c r="G178" s="3" t="s">
        <v>717</v>
      </c>
      <c r="H178" s="3" t="s">
        <v>120</v>
      </c>
      <c r="I178" s="3" t="s">
        <v>121</v>
      </c>
      <c r="J178" s="3" t="s">
        <v>122</v>
      </c>
      <c r="K178" s="3"/>
      <c r="L178" s="3"/>
      <c r="M178" s="30" t="s">
        <v>138</v>
      </c>
    </row>
    <row r="179" spans="1:13" ht="45.75">
      <c r="A179" s="3"/>
      <c r="B179" s="4" t="s">
        <v>718</v>
      </c>
      <c r="C179" s="59" t="s">
        <v>115</v>
      </c>
      <c r="D179" s="4" t="s">
        <v>719</v>
      </c>
      <c r="E179" s="3"/>
      <c r="F179" s="3"/>
      <c r="G179" s="3" t="s">
        <v>720</v>
      </c>
      <c r="H179" s="3" t="s">
        <v>120</v>
      </c>
      <c r="I179" s="3" t="s">
        <v>121</v>
      </c>
      <c r="J179" s="3" t="s">
        <v>122</v>
      </c>
      <c r="K179" s="3"/>
      <c r="L179" s="3"/>
      <c r="M179" s="30" t="s">
        <v>138</v>
      </c>
    </row>
    <row r="180" spans="1:13" ht="45.75">
      <c r="A180" s="3"/>
      <c r="B180" s="4" t="s">
        <v>721</v>
      </c>
      <c r="C180" s="59" t="s">
        <v>115</v>
      </c>
      <c r="D180" s="4" t="s">
        <v>722</v>
      </c>
      <c r="E180" s="3"/>
      <c r="F180" s="3"/>
      <c r="G180" s="3" t="s">
        <v>723</v>
      </c>
      <c r="H180" s="3" t="s">
        <v>120</v>
      </c>
      <c r="I180" s="3" t="s">
        <v>121</v>
      </c>
      <c r="J180" s="3" t="s">
        <v>122</v>
      </c>
      <c r="K180" s="3"/>
      <c r="L180" s="3"/>
      <c r="M180" s="30" t="s">
        <v>138</v>
      </c>
    </row>
    <row r="181" spans="1:13" ht="45.75">
      <c r="A181" s="3"/>
      <c r="B181" s="4" t="s">
        <v>724</v>
      </c>
      <c r="C181" s="59" t="s">
        <v>115</v>
      </c>
      <c r="D181" s="4" t="s">
        <v>725</v>
      </c>
      <c r="E181" s="3"/>
      <c r="F181" s="3"/>
      <c r="G181" s="3" t="s">
        <v>726</v>
      </c>
      <c r="H181" s="3" t="s">
        <v>120</v>
      </c>
      <c r="I181" s="3" t="s">
        <v>121</v>
      </c>
      <c r="J181" s="27" t="s">
        <v>122</v>
      </c>
      <c r="K181" s="3"/>
      <c r="L181" s="3"/>
      <c r="M181" s="30" t="s">
        <v>138</v>
      </c>
    </row>
    <row r="182" spans="1:13" ht="45.75">
      <c r="A182" s="3"/>
      <c r="B182" s="4" t="s">
        <v>727</v>
      </c>
      <c r="C182" s="59" t="s">
        <v>115</v>
      </c>
      <c r="D182" s="4" t="s">
        <v>728</v>
      </c>
      <c r="E182" s="3"/>
      <c r="F182" s="3"/>
      <c r="G182" s="3" t="s">
        <v>729</v>
      </c>
      <c r="H182" s="3" t="s">
        <v>120</v>
      </c>
      <c r="I182" s="3" t="s">
        <v>121</v>
      </c>
      <c r="J182" s="3" t="s">
        <v>122</v>
      </c>
      <c r="K182" s="3"/>
      <c r="L182" s="3"/>
      <c r="M182" s="30" t="s">
        <v>138</v>
      </c>
    </row>
    <row r="183" spans="1:13" ht="45.75">
      <c r="A183" s="3"/>
      <c r="B183" s="4" t="s">
        <v>730</v>
      </c>
      <c r="C183" s="59" t="s">
        <v>115</v>
      </c>
      <c r="D183" s="4" t="s">
        <v>731</v>
      </c>
      <c r="E183" s="3"/>
      <c r="F183" s="3"/>
      <c r="G183" s="3" t="s">
        <v>732</v>
      </c>
      <c r="H183" s="3" t="s">
        <v>120</v>
      </c>
      <c r="I183" s="3" t="s">
        <v>121</v>
      </c>
      <c r="J183" s="3" t="s">
        <v>122</v>
      </c>
      <c r="K183" s="3"/>
      <c r="L183" s="3"/>
      <c r="M183" s="30" t="s">
        <v>138</v>
      </c>
    </row>
    <row r="184" spans="1:13" ht="45.75">
      <c r="A184" s="3"/>
      <c r="B184" s="4" t="s">
        <v>733</v>
      </c>
      <c r="C184" s="59" t="s">
        <v>115</v>
      </c>
      <c r="D184" s="4" t="s">
        <v>734</v>
      </c>
      <c r="E184" s="3"/>
      <c r="F184" s="3"/>
      <c r="G184" s="3" t="s">
        <v>735</v>
      </c>
      <c r="H184" s="3" t="s">
        <v>120</v>
      </c>
      <c r="I184" s="3" t="s">
        <v>121</v>
      </c>
      <c r="J184" s="27" t="s">
        <v>122</v>
      </c>
      <c r="K184" s="3"/>
      <c r="L184" s="3"/>
      <c r="M184" s="30" t="s">
        <v>138</v>
      </c>
    </row>
    <row r="185" spans="1:13" ht="45.75">
      <c r="A185" s="3"/>
      <c r="B185" s="4" t="s">
        <v>736</v>
      </c>
      <c r="C185" s="59" t="s">
        <v>115</v>
      </c>
      <c r="D185" s="4" t="s">
        <v>737</v>
      </c>
      <c r="E185" s="3"/>
      <c r="F185" s="3"/>
      <c r="G185" s="3" t="s">
        <v>738</v>
      </c>
      <c r="H185" s="3" t="s">
        <v>120</v>
      </c>
      <c r="I185" s="3" t="s">
        <v>121</v>
      </c>
      <c r="J185" s="3" t="s">
        <v>122</v>
      </c>
      <c r="K185" s="3"/>
      <c r="L185" s="3"/>
      <c r="M185" s="30" t="s">
        <v>138</v>
      </c>
    </row>
    <row r="186" spans="1:13" ht="45.75">
      <c r="A186" s="3"/>
      <c r="B186" s="4" t="s">
        <v>739</v>
      </c>
      <c r="C186" s="59" t="s">
        <v>115</v>
      </c>
      <c r="D186" s="4" t="s">
        <v>740</v>
      </c>
      <c r="E186" s="3"/>
      <c r="F186" s="3"/>
      <c r="G186" s="3" t="s">
        <v>741</v>
      </c>
      <c r="H186" s="3" t="s">
        <v>120</v>
      </c>
      <c r="I186" s="3" t="s">
        <v>121</v>
      </c>
      <c r="J186" s="3" t="s">
        <v>122</v>
      </c>
      <c r="K186" s="3"/>
      <c r="L186" s="3"/>
      <c r="M186" s="30" t="s">
        <v>138</v>
      </c>
    </row>
    <row r="187" spans="1:13" ht="45.75">
      <c r="A187" s="3"/>
      <c r="B187" s="4" t="s">
        <v>742</v>
      </c>
      <c r="C187" s="59" t="s">
        <v>115</v>
      </c>
      <c r="D187" s="4" t="s">
        <v>743</v>
      </c>
      <c r="E187" s="3"/>
      <c r="F187" s="3"/>
      <c r="G187" s="3" t="s">
        <v>744</v>
      </c>
      <c r="H187" s="3" t="s">
        <v>120</v>
      </c>
      <c r="I187" s="3" t="s">
        <v>121</v>
      </c>
      <c r="J187" s="3" t="s">
        <v>122</v>
      </c>
      <c r="K187" s="3"/>
      <c r="L187" s="3"/>
      <c r="M187" s="30" t="s">
        <v>138</v>
      </c>
    </row>
    <row r="188" spans="1:13" ht="45.75">
      <c r="A188" s="3"/>
      <c r="B188" s="4" t="s">
        <v>745</v>
      </c>
      <c r="C188" s="59" t="s">
        <v>115</v>
      </c>
      <c r="D188" s="4" t="s">
        <v>746</v>
      </c>
      <c r="E188" s="3"/>
      <c r="F188" s="3"/>
      <c r="G188" s="3" t="s">
        <v>747</v>
      </c>
      <c r="H188" s="3" t="s">
        <v>120</v>
      </c>
      <c r="I188" s="3" t="s">
        <v>121</v>
      </c>
      <c r="J188" s="3" t="s">
        <v>122</v>
      </c>
      <c r="K188" s="3"/>
      <c r="L188" s="3"/>
      <c r="M188" s="30" t="s">
        <v>138</v>
      </c>
    </row>
    <row r="189" spans="1:13" ht="45.75">
      <c r="A189" s="3"/>
      <c r="B189" s="4" t="s">
        <v>748</v>
      </c>
      <c r="C189" s="59" t="s">
        <v>115</v>
      </c>
      <c r="D189" s="4" t="s">
        <v>749</v>
      </c>
      <c r="E189" s="3"/>
      <c r="F189" s="3"/>
      <c r="G189" s="3" t="s">
        <v>750</v>
      </c>
      <c r="H189" s="3" t="s">
        <v>120</v>
      </c>
      <c r="I189" s="3" t="s">
        <v>121</v>
      </c>
      <c r="J189" s="3" t="s">
        <v>122</v>
      </c>
      <c r="K189" s="3"/>
      <c r="L189" s="3"/>
      <c r="M189" s="30" t="s">
        <v>138</v>
      </c>
    </row>
    <row r="190" spans="1:13" ht="30">
      <c r="A190" s="3"/>
      <c r="B190" s="4" t="s">
        <v>751</v>
      </c>
      <c r="C190" s="59" t="s">
        <v>115</v>
      </c>
      <c r="D190" s="4" t="s">
        <v>752</v>
      </c>
      <c r="E190" s="3"/>
      <c r="F190" s="3"/>
      <c r="G190" s="3" t="s">
        <v>119</v>
      </c>
      <c r="H190" s="3" t="s">
        <v>120</v>
      </c>
      <c r="I190" s="3" t="s">
        <v>121</v>
      </c>
      <c r="J190" s="3" t="s">
        <v>122</v>
      </c>
      <c r="K190" s="3"/>
      <c r="L190" s="3"/>
      <c r="M190" s="30" t="s">
        <v>138</v>
      </c>
    </row>
    <row r="191" spans="1:13" ht="30">
      <c r="A191" s="3"/>
      <c r="B191" s="4" t="s">
        <v>753</v>
      </c>
      <c r="C191" s="59" t="s">
        <v>115</v>
      </c>
      <c r="D191" s="4" t="s">
        <v>754</v>
      </c>
      <c r="E191" s="3"/>
      <c r="F191" s="3"/>
      <c r="G191" s="3" t="s">
        <v>119</v>
      </c>
      <c r="H191" s="3" t="s">
        <v>120</v>
      </c>
      <c r="I191" s="3" t="s">
        <v>121</v>
      </c>
      <c r="J191" s="3" t="s">
        <v>122</v>
      </c>
      <c r="K191" s="3"/>
      <c r="L191" s="3"/>
      <c r="M191" s="30" t="s">
        <v>138</v>
      </c>
    </row>
    <row r="192" spans="1:13" ht="30">
      <c r="A192" s="3"/>
      <c r="B192" s="4" t="s">
        <v>755</v>
      </c>
      <c r="C192" s="59" t="s">
        <v>115</v>
      </c>
      <c r="D192" s="4" t="s">
        <v>756</v>
      </c>
      <c r="E192" s="3"/>
      <c r="F192" s="3"/>
      <c r="G192" s="3" t="s">
        <v>119</v>
      </c>
      <c r="H192" s="3" t="s">
        <v>120</v>
      </c>
      <c r="I192" s="3" t="s">
        <v>121</v>
      </c>
      <c r="J192" s="3" t="s">
        <v>122</v>
      </c>
      <c r="K192" s="3"/>
      <c r="L192" s="3"/>
      <c r="M192" s="30" t="s">
        <v>138</v>
      </c>
    </row>
    <row r="193" spans="1:13" ht="30">
      <c r="A193" s="3"/>
      <c r="B193" s="4" t="s">
        <v>757</v>
      </c>
      <c r="C193" s="59" t="s">
        <v>115</v>
      </c>
      <c r="D193" s="4" t="s">
        <v>758</v>
      </c>
      <c r="E193" s="3"/>
      <c r="F193" s="3"/>
      <c r="G193" s="3" t="s">
        <v>119</v>
      </c>
      <c r="H193" s="3" t="s">
        <v>120</v>
      </c>
      <c r="I193" s="3" t="s">
        <v>121</v>
      </c>
      <c r="J193" s="3" t="s">
        <v>122</v>
      </c>
      <c r="K193" s="3"/>
      <c r="L193" s="3"/>
      <c r="M193" s="30" t="s">
        <v>138</v>
      </c>
    </row>
    <row r="194" spans="1:13" ht="30">
      <c r="A194" s="3"/>
      <c r="B194" s="4" t="s">
        <v>759</v>
      </c>
      <c r="C194" s="59" t="s">
        <v>115</v>
      </c>
      <c r="D194" s="4" t="s">
        <v>760</v>
      </c>
      <c r="E194" s="3"/>
      <c r="F194" s="3"/>
      <c r="G194" s="3" t="s">
        <v>119</v>
      </c>
      <c r="H194" s="3" t="s">
        <v>120</v>
      </c>
      <c r="I194" s="3" t="s">
        <v>121</v>
      </c>
      <c r="J194" s="3" t="s">
        <v>122</v>
      </c>
      <c r="K194" s="3"/>
      <c r="L194" s="3"/>
      <c r="M194" s="30" t="s">
        <v>138</v>
      </c>
    </row>
    <row r="195" spans="1:13" ht="30">
      <c r="A195" s="3"/>
      <c r="B195" s="4" t="s">
        <v>761</v>
      </c>
      <c r="C195" s="59" t="s">
        <v>115</v>
      </c>
      <c r="D195" s="4" t="s">
        <v>762</v>
      </c>
      <c r="E195" s="3"/>
      <c r="F195" s="3"/>
      <c r="G195" s="3" t="s">
        <v>119</v>
      </c>
      <c r="H195" s="3" t="s">
        <v>120</v>
      </c>
      <c r="I195" s="3" t="s">
        <v>121</v>
      </c>
      <c r="J195" s="3" t="s">
        <v>122</v>
      </c>
      <c r="K195" s="3"/>
      <c r="L195" s="3"/>
      <c r="M195" s="30" t="s">
        <v>138</v>
      </c>
    </row>
    <row r="196" spans="1:13" ht="30">
      <c r="A196" s="3"/>
      <c r="B196" s="4" t="s">
        <v>763</v>
      </c>
      <c r="C196" s="59" t="s">
        <v>115</v>
      </c>
      <c r="D196" s="4" t="s">
        <v>764</v>
      </c>
      <c r="E196" s="3"/>
      <c r="F196" s="3"/>
      <c r="G196" s="3" t="s">
        <v>119</v>
      </c>
      <c r="H196" s="3" t="s">
        <v>120</v>
      </c>
      <c r="I196" s="3" t="s">
        <v>121</v>
      </c>
      <c r="J196" s="3" t="s">
        <v>122</v>
      </c>
      <c r="K196" s="3"/>
      <c r="L196" s="3"/>
      <c r="M196" s="30" t="s">
        <v>138</v>
      </c>
    </row>
    <row r="197" spans="1:13" ht="30">
      <c r="A197" s="3"/>
      <c r="B197" s="4" t="s">
        <v>765</v>
      </c>
      <c r="C197" s="59" t="s">
        <v>115</v>
      </c>
      <c r="D197" s="4" t="s">
        <v>766</v>
      </c>
      <c r="E197" s="3"/>
      <c r="F197" s="3"/>
      <c r="G197" s="3" t="s">
        <v>119</v>
      </c>
      <c r="H197" s="3" t="s">
        <v>120</v>
      </c>
      <c r="I197" s="3" t="s">
        <v>121</v>
      </c>
      <c r="J197" s="27" t="s">
        <v>122</v>
      </c>
      <c r="K197" s="3"/>
      <c r="L197" s="3"/>
      <c r="M197" s="30" t="s">
        <v>138</v>
      </c>
    </row>
    <row r="198" spans="1:13" ht="30">
      <c r="A198" s="3"/>
      <c r="B198" s="4" t="s">
        <v>767</v>
      </c>
      <c r="C198" s="59" t="s">
        <v>115</v>
      </c>
      <c r="D198" s="4" t="s">
        <v>768</v>
      </c>
      <c r="E198" s="3"/>
      <c r="F198" s="3"/>
      <c r="G198" s="3" t="s">
        <v>119</v>
      </c>
      <c r="H198" s="3" t="s">
        <v>120</v>
      </c>
      <c r="I198" s="3" t="s">
        <v>121</v>
      </c>
      <c r="J198" s="27" t="s">
        <v>122</v>
      </c>
      <c r="K198" s="3"/>
      <c r="L198" s="3"/>
      <c r="M198" s="30" t="s">
        <v>138</v>
      </c>
    </row>
    <row r="199" spans="1:13" ht="30">
      <c r="A199" s="3"/>
      <c r="B199" s="4" t="s">
        <v>769</v>
      </c>
      <c r="C199" s="59" t="s">
        <v>115</v>
      </c>
      <c r="D199" s="4" t="s">
        <v>770</v>
      </c>
      <c r="E199" s="3"/>
      <c r="F199" s="3"/>
      <c r="G199" s="3" t="s">
        <v>119</v>
      </c>
      <c r="H199" s="3" t="s">
        <v>120</v>
      </c>
      <c r="I199" s="3" t="s">
        <v>121</v>
      </c>
      <c r="J199" s="27" t="s">
        <v>122</v>
      </c>
      <c r="K199" s="3"/>
      <c r="L199" s="3"/>
      <c r="M199" s="30" t="s">
        <v>138</v>
      </c>
    </row>
    <row r="200" spans="1:13" ht="30">
      <c r="A200" s="3"/>
      <c r="B200" s="4" t="s">
        <v>771</v>
      </c>
      <c r="C200" s="59" t="s">
        <v>115</v>
      </c>
      <c r="D200" s="4" t="s">
        <v>772</v>
      </c>
      <c r="E200" s="3"/>
      <c r="F200" s="3"/>
      <c r="G200" s="3" t="s">
        <v>119</v>
      </c>
      <c r="H200" s="3" t="s">
        <v>120</v>
      </c>
      <c r="I200" s="3" t="s">
        <v>121</v>
      </c>
      <c r="J200" s="3" t="s">
        <v>122</v>
      </c>
      <c r="K200" s="3"/>
      <c r="L200" s="3"/>
      <c r="M200" s="30" t="s">
        <v>138</v>
      </c>
    </row>
    <row r="201" spans="1:13" ht="30">
      <c r="A201" s="3"/>
      <c r="B201" s="4" t="s">
        <v>773</v>
      </c>
      <c r="C201" s="59" t="s">
        <v>115</v>
      </c>
      <c r="D201" s="4" t="s">
        <v>774</v>
      </c>
      <c r="E201" s="3"/>
      <c r="F201" s="3"/>
      <c r="G201" s="3" t="s">
        <v>119</v>
      </c>
      <c r="H201" s="3" t="s">
        <v>120</v>
      </c>
      <c r="I201" s="3" t="s">
        <v>121</v>
      </c>
      <c r="J201" s="27" t="s">
        <v>122</v>
      </c>
      <c r="K201" s="3"/>
      <c r="L201" s="3"/>
      <c r="M201" s="30" t="s">
        <v>138</v>
      </c>
    </row>
    <row r="202" spans="1:13" ht="30">
      <c r="A202" s="3"/>
      <c r="B202" s="4" t="s">
        <v>775</v>
      </c>
      <c r="C202" s="59" t="s">
        <v>115</v>
      </c>
      <c r="D202" s="4" t="s">
        <v>776</v>
      </c>
      <c r="E202" s="3"/>
      <c r="F202" s="3"/>
      <c r="G202" s="3" t="s">
        <v>119</v>
      </c>
      <c r="H202" s="3" t="s">
        <v>120</v>
      </c>
      <c r="I202" s="3" t="s">
        <v>121</v>
      </c>
      <c r="J202" s="3" t="s">
        <v>122</v>
      </c>
      <c r="K202" s="3"/>
      <c r="L202" s="3"/>
      <c r="M202" s="30" t="s">
        <v>138</v>
      </c>
    </row>
    <row r="203" spans="1:13" ht="30">
      <c r="A203" s="3"/>
      <c r="B203" s="4" t="s">
        <v>777</v>
      </c>
      <c r="C203" s="59" t="s">
        <v>115</v>
      </c>
      <c r="D203" s="4" t="s">
        <v>778</v>
      </c>
      <c r="E203" s="3"/>
      <c r="F203" s="3"/>
      <c r="G203" s="3"/>
      <c r="H203" s="3" t="s">
        <v>120</v>
      </c>
      <c r="I203" s="3" t="s">
        <v>121</v>
      </c>
      <c r="J203" s="27" t="s">
        <v>122</v>
      </c>
      <c r="K203" s="3"/>
      <c r="L203" s="3"/>
      <c r="M203" s="30" t="s">
        <v>138</v>
      </c>
    </row>
    <row r="204" spans="1:13" ht="30">
      <c r="A204" s="3"/>
      <c r="B204" s="4" t="s">
        <v>779</v>
      </c>
      <c r="C204" s="59" t="s">
        <v>115</v>
      </c>
      <c r="D204" s="4" t="s">
        <v>780</v>
      </c>
      <c r="E204" s="3"/>
      <c r="F204" s="3"/>
      <c r="G204" s="3" t="s">
        <v>119</v>
      </c>
      <c r="H204" s="3" t="s">
        <v>120</v>
      </c>
      <c r="I204" s="3" t="s">
        <v>121</v>
      </c>
      <c r="J204" s="3" t="s">
        <v>122</v>
      </c>
      <c r="K204" s="3"/>
      <c r="L204" s="3"/>
      <c r="M204" s="30" t="s">
        <v>138</v>
      </c>
    </row>
    <row r="205" spans="1:13" ht="30">
      <c r="A205" s="3"/>
      <c r="B205" s="4" t="s">
        <v>115</v>
      </c>
      <c r="C205" s="60" t="s">
        <v>115</v>
      </c>
      <c r="D205" s="4" t="s">
        <v>781</v>
      </c>
      <c r="E205" s="3"/>
      <c r="F205" s="3"/>
      <c r="G205" s="3"/>
      <c r="H205" s="3"/>
      <c r="I205" s="3"/>
      <c r="J205" s="3"/>
      <c r="K205" s="3"/>
      <c r="L205" s="3"/>
      <c r="M205" s="30"/>
    </row>
    <row r="206" spans="1:13" ht="60.75">
      <c r="A206" s="3"/>
      <c r="B206" s="4" t="s">
        <v>170</v>
      </c>
      <c r="C206" s="60" t="s">
        <v>170</v>
      </c>
      <c r="D206" s="4" t="s">
        <v>782</v>
      </c>
      <c r="E206" s="3"/>
      <c r="F206" s="3"/>
      <c r="G206" s="3"/>
      <c r="H206" s="3"/>
      <c r="I206" s="3"/>
      <c r="J206" s="3"/>
      <c r="K206" s="3"/>
      <c r="L206" s="3"/>
      <c r="M206" s="30"/>
    </row>
    <row r="207" spans="1:13" ht="136.5">
      <c r="A207" s="3"/>
      <c r="B207" s="4" t="s">
        <v>783</v>
      </c>
      <c r="C207" s="58" t="s">
        <v>170</v>
      </c>
      <c r="D207" s="4" t="s">
        <v>784</v>
      </c>
      <c r="E207" s="3"/>
      <c r="F207" s="3"/>
      <c r="G207" s="3" t="s">
        <v>174</v>
      </c>
      <c r="H207" s="4" t="s">
        <v>785</v>
      </c>
      <c r="I207" s="4" t="s">
        <v>786</v>
      </c>
      <c r="J207" s="3" t="s">
        <v>176</v>
      </c>
      <c r="K207" s="3"/>
      <c r="L207" s="3"/>
      <c r="M207" s="34" t="s">
        <v>177</v>
      </c>
    </row>
    <row r="208" spans="1:13" ht="136.5">
      <c r="A208" s="3"/>
      <c r="B208" s="4" t="s">
        <v>787</v>
      </c>
      <c r="C208" s="58" t="s">
        <v>170</v>
      </c>
      <c r="D208" s="4" t="s">
        <v>788</v>
      </c>
      <c r="E208" s="3"/>
      <c r="F208" s="3"/>
      <c r="G208" s="3" t="s">
        <v>174</v>
      </c>
      <c r="H208" s="4" t="s">
        <v>785</v>
      </c>
      <c r="I208" s="4" t="s">
        <v>786</v>
      </c>
      <c r="J208" s="3" t="s">
        <v>176</v>
      </c>
      <c r="K208" s="3"/>
      <c r="L208" s="3"/>
      <c r="M208" s="34" t="s">
        <v>177</v>
      </c>
    </row>
    <row r="209" spans="1:13" ht="136.5">
      <c r="A209" s="3"/>
      <c r="B209" s="4" t="s">
        <v>789</v>
      </c>
      <c r="C209" s="58" t="s">
        <v>170</v>
      </c>
      <c r="D209" s="4" t="s">
        <v>790</v>
      </c>
      <c r="E209" s="3"/>
      <c r="F209" s="3"/>
      <c r="G209" s="3" t="s">
        <v>174</v>
      </c>
      <c r="H209" s="4" t="s">
        <v>785</v>
      </c>
      <c r="I209" s="4" t="s">
        <v>786</v>
      </c>
      <c r="J209" s="3" t="s">
        <v>176</v>
      </c>
      <c r="K209" s="3"/>
      <c r="L209" s="3"/>
      <c r="M209" s="34" t="s">
        <v>177</v>
      </c>
    </row>
    <row r="210" spans="1:13" ht="136.5">
      <c r="A210" s="3"/>
      <c r="B210" s="4" t="s">
        <v>791</v>
      </c>
      <c r="C210" s="58" t="s">
        <v>170</v>
      </c>
      <c r="D210" s="4" t="s">
        <v>792</v>
      </c>
      <c r="E210" s="3"/>
      <c r="F210" s="3"/>
      <c r="G210" s="3" t="s">
        <v>174</v>
      </c>
      <c r="H210" s="4" t="s">
        <v>785</v>
      </c>
      <c r="I210" s="4" t="s">
        <v>786</v>
      </c>
      <c r="J210" s="3" t="s">
        <v>176</v>
      </c>
      <c r="K210" s="3"/>
      <c r="L210" s="3"/>
      <c r="M210" s="34" t="s">
        <v>177</v>
      </c>
    </row>
    <row r="211" spans="1:13" ht="136.5">
      <c r="A211" s="3"/>
      <c r="B211" s="4" t="s">
        <v>793</v>
      </c>
      <c r="C211" s="58" t="s">
        <v>170</v>
      </c>
      <c r="D211" s="4" t="s">
        <v>794</v>
      </c>
      <c r="E211" s="3"/>
      <c r="F211" s="3"/>
      <c r="G211" s="3" t="s">
        <v>174</v>
      </c>
      <c r="H211" s="4" t="s">
        <v>785</v>
      </c>
      <c r="I211" s="4" t="s">
        <v>786</v>
      </c>
      <c r="J211" s="3" t="s">
        <v>176</v>
      </c>
      <c r="K211" s="3"/>
      <c r="L211" s="3"/>
      <c r="M211" s="34" t="s">
        <v>177</v>
      </c>
    </row>
    <row r="212" spans="1:13" ht="136.5">
      <c r="A212" s="3"/>
      <c r="B212" s="4" t="s">
        <v>795</v>
      </c>
      <c r="C212" s="58" t="s">
        <v>170</v>
      </c>
      <c r="D212" s="4" t="s">
        <v>796</v>
      </c>
      <c r="E212" s="3"/>
      <c r="F212" s="3"/>
      <c r="G212" s="3" t="s">
        <v>174</v>
      </c>
      <c r="H212" s="4" t="s">
        <v>785</v>
      </c>
      <c r="I212" s="4" t="s">
        <v>786</v>
      </c>
      <c r="J212" s="3" t="s">
        <v>176</v>
      </c>
      <c r="K212" s="3"/>
      <c r="L212" s="3"/>
      <c r="M212" s="34" t="s">
        <v>177</v>
      </c>
    </row>
    <row r="213" spans="1:13" ht="136.5">
      <c r="A213" s="3"/>
      <c r="B213" s="4" t="s">
        <v>797</v>
      </c>
      <c r="C213" s="58" t="s">
        <v>170</v>
      </c>
      <c r="D213" s="4" t="s">
        <v>798</v>
      </c>
      <c r="E213" s="3"/>
      <c r="F213" s="3"/>
      <c r="G213" s="3" t="s">
        <v>174</v>
      </c>
      <c r="H213" s="4" t="s">
        <v>785</v>
      </c>
      <c r="I213" s="4" t="s">
        <v>786</v>
      </c>
      <c r="J213" s="3" t="s">
        <v>176</v>
      </c>
      <c r="K213" s="3"/>
      <c r="L213" s="3"/>
      <c r="M213" s="34" t="s">
        <v>177</v>
      </c>
    </row>
    <row r="214" spans="1:13" ht="136.5">
      <c r="A214" s="3"/>
      <c r="B214" s="4" t="s">
        <v>799</v>
      </c>
      <c r="C214" s="58" t="s">
        <v>170</v>
      </c>
      <c r="D214" s="4" t="s">
        <v>800</v>
      </c>
      <c r="E214" s="3"/>
      <c r="F214" s="3"/>
      <c r="G214" s="3" t="s">
        <v>174</v>
      </c>
      <c r="H214" s="4" t="s">
        <v>785</v>
      </c>
      <c r="I214" s="4" t="s">
        <v>786</v>
      </c>
      <c r="J214" s="3" t="s">
        <v>176</v>
      </c>
      <c r="K214" s="3"/>
      <c r="L214" s="3"/>
      <c r="M214" s="34" t="s">
        <v>177</v>
      </c>
    </row>
    <row r="215" spans="1:13" ht="136.5">
      <c r="A215" s="3"/>
      <c r="B215" s="4" t="s">
        <v>801</v>
      </c>
      <c r="C215" s="58" t="s">
        <v>170</v>
      </c>
      <c r="D215" s="4" t="s">
        <v>802</v>
      </c>
      <c r="E215" s="3"/>
      <c r="F215" s="3"/>
      <c r="G215" s="3" t="s">
        <v>174</v>
      </c>
      <c r="H215" s="4" t="s">
        <v>785</v>
      </c>
      <c r="I215" s="4" t="s">
        <v>786</v>
      </c>
      <c r="J215" s="3" t="s">
        <v>176</v>
      </c>
      <c r="K215" s="3"/>
      <c r="L215" s="3"/>
      <c r="M215" s="34" t="s">
        <v>177</v>
      </c>
    </row>
    <row r="216" spans="1:13" ht="136.5">
      <c r="A216" s="3"/>
      <c r="B216" s="4" t="s">
        <v>803</v>
      </c>
      <c r="C216" s="58" t="s">
        <v>170</v>
      </c>
      <c r="D216" s="4" t="s">
        <v>804</v>
      </c>
      <c r="E216" s="3"/>
      <c r="F216" s="3"/>
      <c r="G216" s="3" t="s">
        <v>174</v>
      </c>
      <c r="H216" s="4" t="s">
        <v>785</v>
      </c>
      <c r="I216" s="4" t="s">
        <v>786</v>
      </c>
      <c r="J216" s="3" t="s">
        <v>176</v>
      </c>
      <c r="K216" s="3"/>
      <c r="L216" s="3"/>
      <c r="M216" s="34" t="s">
        <v>177</v>
      </c>
    </row>
    <row r="217" spans="1:13" ht="136.5">
      <c r="A217" s="3"/>
      <c r="B217" s="4" t="s">
        <v>805</v>
      </c>
      <c r="C217" s="58" t="s">
        <v>170</v>
      </c>
      <c r="D217" s="4" t="s">
        <v>806</v>
      </c>
      <c r="E217" s="3"/>
      <c r="F217" s="3"/>
      <c r="G217" s="3" t="s">
        <v>174</v>
      </c>
      <c r="H217" s="4" t="s">
        <v>785</v>
      </c>
      <c r="I217" s="4" t="s">
        <v>786</v>
      </c>
      <c r="J217" s="3" t="s">
        <v>176</v>
      </c>
      <c r="K217" s="3"/>
      <c r="L217" s="3"/>
      <c r="M217" s="34" t="s">
        <v>177</v>
      </c>
    </row>
    <row r="218" spans="1:13" ht="136.5">
      <c r="A218" s="3"/>
      <c r="B218" s="4" t="s">
        <v>807</v>
      </c>
      <c r="C218" s="58" t="s">
        <v>170</v>
      </c>
      <c r="D218" s="4" t="s">
        <v>808</v>
      </c>
      <c r="E218" s="3"/>
      <c r="F218" s="3"/>
      <c r="G218" s="3" t="s">
        <v>174</v>
      </c>
      <c r="H218" s="4" t="s">
        <v>785</v>
      </c>
      <c r="I218" s="4" t="s">
        <v>786</v>
      </c>
      <c r="J218" s="3" t="s">
        <v>176</v>
      </c>
      <c r="K218" s="3"/>
      <c r="L218" s="3"/>
      <c r="M218" s="34" t="s">
        <v>177</v>
      </c>
    </row>
    <row r="219" spans="1:13" ht="136.5">
      <c r="A219" s="3"/>
      <c r="B219" s="4" t="s">
        <v>809</v>
      </c>
      <c r="C219" s="58" t="s">
        <v>170</v>
      </c>
      <c r="D219" s="4" t="s">
        <v>810</v>
      </c>
      <c r="E219" s="3"/>
      <c r="F219" s="3"/>
      <c r="G219" s="3" t="s">
        <v>174</v>
      </c>
      <c r="H219" s="4" t="s">
        <v>785</v>
      </c>
      <c r="I219" s="4" t="s">
        <v>786</v>
      </c>
      <c r="J219" s="3" t="s">
        <v>176</v>
      </c>
      <c r="K219" s="3"/>
      <c r="L219" s="3"/>
      <c r="M219" s="34" t="s">
        <v>177</v>
      </c>
    </row>
    <row r="220" spans="1:13" ht="136.5">
      <c r="A220" s="3"/>
      <c r="B220" s="4" t="s">
        <v>811</v>
      </c>
      <c r="C220" s="58" t="s">
        <v>170</v>
      </c>
      <c r="D220" s="4" t="s">
        <v>812</v>
      </c>
      <c r="E220" s="3"/>
      <c r="F220" s="3"/>
      <c r="G220" s="3" t="s">
        <v>174</v>
      </c>
      <c r="H220" s="4" t="s">
        <v>785</v>
      </c>
      <c r="I220" s="4" t="s">
        <v>786</v>
      </c>
      <c r="J220" s="3" t="s">
        <v>176</v>
      </c>
      <c r="K220" s="3"/>
      <c r="L220" s="3"/>
      <c r="M220" s="34" t="s">
        <v>177</v>
      </c>
    </row>
    <row r="221" spans="1:13" ht="136.5">
      <c r="A221" s="3"/>
      <c r="B221" s="4" t="s">
        <v>813</v>
      </c>
      <c r="C221" s="58" t="s">
        <v>170</v>
      </c>
      <c r="D221" s="4" t="s">
        <v>814</v>
      </c>
      <c r="E221" s="3"/>
      <c r="F221" s="3"/>
      <c r="G221" s="3" t="s">
        <v>174</v>
      </c>
      <c r="H221" s="4" t="s">
        <v>785</v>
      </c>
      <c r="I221" s="4" t="s">
        <v>786</v>
      </c>
      <c r="J221" s="3" t="s">
        <v>176</v>
      </c>
      <c r="K221" s="3"/>
      <c r="L221" s="3"/>
      <c r="M221" s="34" t="s">
        <v>177</v>
      </c>
    </row>
    <row r="222" spans="1:13" ht="136.5">
      <c r="A222" s="3"/>
      <c r="B222" s="4" t="s">
        <v>815</v>
      </c>
      <c r="C222" s="58" t="s">
        <v>170</v>
      </c>
      <c r="D222" s="4" t="s">
        <v>816</v>
      </c>
      <c r="E222" s="3"/>
      <c r="F222" s="3"/>
      <c r="G222" s="3" t="s">
        <v>174</v>
      </c>
      <c r="H222" s="4" t="s">
        <v>785</v>
      </c>
      <c r="I222" s="4" t="s">
        <v>786</v>
      </c>
      <c r="J222" s="3" t="s">
        <v>176</v>
      </c>
      <c r="K222" s="3"/>
      <c r="L222" s="3"/>
      <c r="M222" s="34" t="s">
        <v>177</v>
      </c>
    </row>
    <row r="223" spans="1:13" ht="136.5">
      <c r="A223" s="3"/>
      <c r="B223" s="4" t="s">
        <v>817</v>
      </c>
      <c r="C223" s="58" t="s">
        <v>170</v>
      </c>
      <c r="D223" s="4" t="s">
        <v>818</v>
      </c>
      <c r="E223" s="3"/>
      <c r="F223" s="3"/>
      <c r="G223" s="3" t="s">
        <v>174</v>
      </c>
      <c r="H223" s="4" t="s">
        <v>785</v>
      </c>
      <c r="I223" s="4" t="s">
        <v>786</v>
      </c>
      <c r="J223" s="3" t="s">
        <v>176</v>
      </c>
      <c r="K223" s="3"/>
      <c r="L223" s="3"/>
      <c r="M223" s="34" t="s">
        <v>177</v>
      </c>
    </row>
    <row r="224" spans="1:13" ht="30">
      <c r="A224" s="3"/>
      <c r="B224" s="4" t="s">
        <v>183</v>
      </c>
      <c r="C224" s="60" t="s">
        <v>183</v>
      </c>
      <c r="D224" s="4" t="s">
        <v>819</v>
      </c>
      <c r="E224" s="3"/>
      <c r="F224" s="3"/>
      <c r="G224" s="3"/>
      <c r="H224" s="3"/>
      <c r="I224" s="3"/>
      <c r="J224" s="3"/>
      <c r="K224" s="3"/>
      <c r="L224" s="3"/>
      <c r="M224" s="30"/>
    </row>
    <row r="225" spans="1:13" ht="106.5">
      <c r="A225" s="35"/>
      <c r="B225" s="4" t="s">
        <v>820</v>
      </c>
      <c r="C225" s="59" t="s">
        <v>183</v>
      </c>
      <c r="D225" s="4" t="s">
        <v>821</v>
      </c>
      <c r="E225" s="3"/>
      <c r="F225" s="3"/>
      <c r="G225" s="3" t="s">
        <v>196</v>
      </c>
      <c r="H225" s="4" t="s">
        <v>822</v>
      </c>
      <c r="I225" s="3" t="s">
        <v>823</v>
      </c>
      <c r="J225" s="3" t="s">
        <v>190</v>
      </c>
      <c r="K225" s="3"/>
      <c r="L225" s="3"/>
      <c r="M225" s="34" t="s">
        <v>199</v>
      </c>
    </row>
    <row r="226" spans="1:13" ht="30">
      <c r="A226" s="3"/>
      <c r="B226" s="4" t="s">
        <v>201</v>
      </c>
      <c r="C226" s="60" t="s">
        <v>201</v>
      </c>
      <c r="D226" s="4" t="s">
        <v>824</v>
      </c>
      <c r="E226" s="3"/>
      <c r="F226" s="3"/>
      <c r="G226" s="3"/>
      <c r="H226" s="3"/>
      <c r="I226" s="3"/>
      <c r="J226" s="3"/>
      <c r="K226" s="3"/>
      <c r="L226" s="3"/>
      <c r="M226" s="30"/>
    </row>
    <row r="227" spans="1:13" ht="45.75">
      <c r="A227" s="3"/>
      <c r="B227" s="4" t="s">
        <v>825</v>
      </c>
      <c r="C227" s="59" t="s">
        <v>209</v>
      </c>
      <c r="D227" s="4" t="s">
        <v>826</v>
      </c>
      <c r="E227" s="3"/>
      <c r="F227" s="3"/>
      <c r="G227" s="3" t="s">
        <v>295</v>
      </c>
      <c r="H227" s="4" t="s">
        <v>827</v>
      </c>
      <c r="I227" s="4" t="s">
        <v>296</v>
      </c>
      <c r="J227" s="3" t="s">
        <v>828</v>
      </c>
      <c r="K227" s="3"/>
      <c r="L227" s="3"/>
      <c r="M227" s="30" t="s">
        <v>217</v>
      </c>
    </row>
    <row r="228" spans="1:13" ht="45.75">
      <c r="A228" s="3"/>
      <c r="B228" s="4" t="s">
        <v>829</v>
      </c>
      <c r="C228" s="59" t="s">
        <v>209</v>
      </c>
      <c r="D228" s="4" t="s">
        <v>830</v>
      </c>
      <c r="E228" s="3"/>
      <c r="F228" s="3"/>
      <c r="G228" s="3" t="s">
        <v>213</v>
      </c>
      <c r="H228" s="3" t="s">
        <v>214</v>
      </c>
      <c r="I228" s="4" t="s">
        <v>831</v>
      </c>
      <c r="J228" s="3" t="s">
        <v>828</v>
      </c>
      <c r="K228" s="3"/>
      <c r="L228" s="3"/>
      <c r="M228" s="30" t="s">
        <v>217</v>
      </c>
    </row>
    <row r="229" spans="1:13" ht="45.75">
      <c r="A229" s="3"/>
      <c r="B229" s="4" t="s">
        <v>832</v>
      </c>
      <c r="C229" s="59" t="s">
        <v>209</v>
      </c>
      <c r="D229" s="4" t="s">
        <v>833</v>
      </c>
      <c r="E229" s="3"/>
      <c r="F229" s="3"/>
      <c r="G229" s="3" t="s">
        <v>213</v>
      </c>
      <c r="H229" s="3" t="s">
        <v>214</v>
      </c>
      <c r="I229" s="4" t="s">
        <v>831</v>
      </c>
      <c r="J229" s="3" t="s">
        <v>828</v>
      </c>
      <c r="K229" s="3"/>
      <c r="L229" s="3"/>
      <c r="M229" s="30" t="s">
        <v>217</v>
      </c>
    </row>
    <row r="230" spans="1:13" ht="45.75">
      <c r="A230" s="3"/>
      <c r="B230" s="4" t="s">
        <v>834</v>
      </c>
      <c r="C230" s="59" t="s">
        <v>209</v>
      </c>
      <c r="D230" s="4" t="s">
        <v>835</v>
      </c>
      <c r="E230" s="3"/>
      <c r="F230" s="3"/>
      <c r="G230" s="3" t="s">
        <v>213</v>
      </c>
      <c r="H230" s="3" t="s">
        <v>214</v>
      </c>
      <c r="I230" s="4" t="s">
        <v>831</v>
      </c>
      <c r="J230" s="3" t="s">
        <v>828</v>
      </c>
      <c r="K230" s="3"/>
      <c r="L230" s="3"/>
      <c r="M230" s="30" t="s">
        <v>217</v>
      </c>
    </row>
    <row r="231" spans="1:13" ht="45.75">
      <c r="A231" s="3"/>
      <c r="B231" s="4" t="s">
        <v>836</v>
      </c>
      <c r="C231" s="59" t="s">
        <v>209</v>
      </c>
      <c r="D231" s="4" t="s">
        <v>837</v>
      </c>
      <c r="E231" s="3"/>
      <c r="F231" s="3"/>
      <c r="G231" s="3" t="s">
        <v>213</v>
      </c>
      <c r="H231" s="3" t="s">
        <v>214</v>
      </c>
      <c r="I231" s="4" t="s">
        <v>831</v>
      </c>
      <c r="J231" s="3" t="s">
        <v>828</v>
      </c>
      <c r="K231" s="3"/>
      <c r="L231" s="3"/>
      <c r="M231" s="30" t="s">
        <v>217</v>
      </c>
    </row>
    <row r="232" spans="1:13" ht="45.75">
      <c r="A232" s="3"/>
      <c r="B232" s="4" t="s">
        <v>838</v>
      </c>
      <c r="C232" s="59" t="s">
        <v>209</v>
      </c>
      <c r="D232" s="4" t="s">
        <v>839</v>
      </c>
      <c r="E232" s="3"/>
      <c r="F232" s="3"/>
      <c r="G232" s="3" t="s">
        <v>213</v>
      </c>
      <c r="H232" s="3" t="s">
        <v>214</v>
      </c>
      <c r="I232" s="4" t="s">
        <v>831</v>
      </c>
      <c r="J232" s="3" t="s">
        <v>828</v>
      </c>
      <c r="K232" s="3"/>
      <c r="L232" s="3"/>
      <c r="M232" s="30" t="s">
        <v>217</v>
      </c>
    </row>
    <row r="233" spans="1:13" ht="45.75">
      <c r="A233" s="3"/>
      <c r="B233" s="4" t="s">
        <v>840</v>
      </c>
      <c r="C233" s="59" t="s">
        <v>209</v>
      </c>
      <c r="D233" s="4" t="s">
        <v>841</v>
      </c>
      <c r="E233" s="3"/>
      <c r="F233" s="3"/>
      <c r="G233" s="3" t="s">
        <v>213</v>
      </c>
      <c r="H233" s="3" t="s">
        <v>214</v>
      </c>
      <c r="I233" s="4" t="s">
        <v>831</v>
      </c>
      <c r="J233" s="3" t="s">
        <v>828</v>
      </c>
      <c r="K233" s="3"/>
      <c r="L233" s="3"/>
      <c r="M233" s="30" t="s">
        <v>217</v>
      </c>
    </row>
    <row r="234" spans="1:13" ht="45.75">
      <c r="A234" s="3"/>
      <c r="B234" s="4" t="s">
        <v>842</v>
      </c>
      <c r="C234" s="59" t="s">
        <v>209</v>
      </c>
      <c r="D234" s="4" t="s">
        <v>843</v>
      </c>
      <c r="E234" s="3"/>
      <c r="F234" s="3"/>
      <c r="G234" s="3" t="s">
        <v>213</v>
      </c>
      <c r="H234" s="3" t="s">
        <v>214</v>
      </c>
      <c r="I234" s="4" t="s">
        <v>831</v>
      </c>
      <c r="J234" s="3" t="s">
        <v>828</v>
      </c>
      <c r="K234" s="3"/>
      <c r="L234" s="3"/>
      <c r="M234" s="30" t="s">
        <v>217</v>
      </c>
    </row>
    <row r="235" spans="1:13" ht="45.75">
      <c r="A235" s="3"/>
      <c r="B235" s="4" t="s">
        <v>844</v>
      </c>
      <c r="C235" s="59" t="s">
        <v>209</v>
      </c>
      <c r="D235" s="4" t="s">
        <v>845</v>
      </c>
      <c r="E235" s="3"/>
      <c r="F235" s="3"/>
      <c r="G235" s="3" t="s">
        <v>213</v>
      </c>
      <c r="H235" s="3" t="s">
        <v>214</v>
      </c>
      <c r="I235" s="4" t="s">
        <v>831</v>
      </c>
      <c r="J235" s="3" t="s">
        <v>828</v>
      </c>
      <c r="K235" s="3"/>
      <c r="L235" s="3"/>
      <c r="M235" s="30" t="s">
        <v>217</v>
      </c>
    </row>
    <row r="236" spans="1:13" ht="45.75">
      <c r="A236" s="3"/>
      <c r="B236" s="4" t="s">
        <v>846</v>
      </c>
      <c r="C236" s="59" t="s">
        <v>209</v>
      </c>
      <c r="D236" s="4" t="s">
        <v>847</v>
      </c>
      <c r="E236" s="3"/>
      <c r="F236" s="3"/>
      <c r="G236" s="3" t="s">
        <v>213</v>
      </c>
      <c r="H236" s="3" t="s">
        <v>214</v>
      </c>
      <c r="I236" s="4" t="s">
        <v>831</v>
      </c>
      <c r="J236" s="3" t="s">
        <v>828</v>
      </c>
      <c r="K236" s="3"/>
      <c r="L236" s="3"/>
      <c r="M236" s="30" t="s">
        <v>217</v>
      </c>
    </row>
    <row r="237" spans="1:13" ht="45.75">
      <c r="A237" s="3"/>
      <c r="B237" s="4" t="s">
        <v>848</v>
      </c>
      <c r="C237" s="59" t="s">
        <v>209</v>
      </c>
      <c r="D237" s="4" t="s">
        <v>849</v>
      </c>
      <c r="E237" s="3"/>
      <c r="F237" s="3"/>
      <c r="G237" s="3" t="s">
        <v>213</v>
      </c>
      <c r="H237" s="3" t="s">
        <v>214</v>
      </c>
      <c r="I237" s="4" t="s">
        <v>831</v>
      </c>
      <c r="J237" s="3" t="s">
        <v>828</v>
      </c>
      <c r="K237" s="3"/>
      <c r="L237" s="3"/>
      <c r="M237" s="30" t="s">
        <v>217</v>
      </c>
    </row>
    <row r="238" spans="1:13" ht="45.75">
      <c r="A238" s="3"/>
      <c r="B238" s="4" t="s">
        <v>850</v>
      </c>
      <c r="C238" s="59" t="s">
        <v>209</v>
      </c>
      <c r="D238" s="4" t="s">
        <v>851</v>
      </c>
      <c r="E238" s="3"/>
      <c r="F238" s="3"/>
      <c r="G238" s="3" t="s">
        <v>213</v>
      </c>
      <c r="H238" s="3" t="s">
        <v>214</v>
      </c>
      <c r="I238" s="4" t="s">
        <v>831</v>
      </c>
      <c r="J238" s="3" t="s">
        <v>828</v>
      </c>
      <c r="K238" s="3"/>
      <c r="L238" s="3"/>
      <c r="M238" s="30" t="s">
        <v>217</v>
      </c>
    </row>
    <row r="239" spans="1:13" ht="45.75">
      <c r="A239" s="3"/>
      <c r="B239" s="4" t="s">
        <v>852</v>
      </c>
      <c r="C239" s="59" t="s">
        <v>209</v>
      </c>
      <c r="D239" s="4" t="s">
        <v>853</v>
      </c>
      <c r="E239" s="3"/>
      <c r="F239" s="3"/>
      <c r="G239" s="3" t="s">
        <v>213</v>
      </c>
      <c r="H239" s="3" t="s">
        <v>214</v>
      </c>
      <c r="I239" s="4" t="s">
        <v>831</v>
      </c>
      <c r="J239" s="3" t="s">
        <v>828</v>
      </c>
      <c r="K239" s="3"/>
      <c r="L239" s="3"/>
      <c r="M239" s="30" t="s">
        <v>217</v>
      </c>
    </row>
    <row r="240" spans="1:13" ht="45.75">
      <c r="A240" s="3"/>
      <c r="B240" s="4" t="s">
        <v>854</v>
      </c>
      <c r="C240" s="59" t="s">
        <v>209</v>
      </c>
      <c r="D240" s="4" t="s">
        <v>855</v>
      </c>
      <c r="E240" s="3"/>
      <c r="F240" s="3"/>
      <c r="G240" s="3" t="s">
        <v>213</v>
      </c>
      <c r="H240" s="3" t="s">
        <v>214</v>
      </c>
      <c r="I240" s="4" t="s">
        <v>831</v>
      </c>
      <c r="J240" s="3" t="s">
        <v>828</v>
      </c>
      <c r="K240" s="3"/>
      <c r="L240" s="3"/>
      <c r="M240" s="30" t="s">
        <v>217</v>
      </c>
    </row>
    <row r="241" spans="1:13" ht="45.75">
      <c r="A241" s="3"/>
      <c r="B241" s="4" t="s">
        <v>856</v>
      </c>
      <c r="C241" s="59" t="s">
        <v>209</v>
      </c>
      <c r="D241" s="4" t="s">
        <v>857</v>
      </c>
      <c r="E241" s="3"/>
      <c r="F241" s="3"/>
      <c r="G241" s="3" t="s">
        <v>213</v>
      </c>
      <c r="H241" s="3" t="s">
        <v>214</v>
      </c>
      <c r="I241" s="4" t="s">
        <v>831</v>
      </c>
      <c r="J241" s="3" t="s">
        <v>828</v>
      </c>
      <c r="K241" s="3"/>
      <c r="L241" s="3"/>
      <c r="M241" s="30" t="s">
        <v>217</v>
      </c>
    </row>
    <row r="242" spans="1:13" ht="45.75">
      <c r="A242" s="3"/>
      <c r="B242" s="4" t="s">
        <v>858</v>
      </c>
      <c r="C242" s="59" t="s">
        <v>209</v>
      </c>
      <c r="D242" s="4" t="s">
        <v>859</v>
      </c>
      <c r="E242" s="3"/>
      <c r="F242" s="3"/>
      <c r="G242" s="3" t="s">
        <v>213</v>
      </c>
      <c r="H242" s="3" t="s">
        <v>214</v>
      </c>
      <c r="I242" s="4" t="s">
        <v>831</v>
      </c>
      <c r="J242" s="3" t="s">
        <v>828</v>
      </c>
      <c r="K242" s="3"/>
      <c r="L242" s="3"/>
      <c r="M242" s="30" t="s">
        <v>217</v>
      </c>
    </row>
    <row r="243" spans="1:13" ht="45.75">
      <c r="A243" s="3"/>
      <c r="B243" s="4" t="s">
        <v>860</v>
      </c>
      <c r="C243" s="59" t="s">
        <v>209</v>
      </c>
      <c r="D243" s="4" t="s">
        <v>861</v>
      </c>
      <c r="E243" s="3"/>
      <c r="F243" s="3"/>
      <c r="G243" s="3" t="s">
        <v>213</v>
      </c>
      <c r="H243" s="3" t="s">
        <v>214</v>
      </c>
      <c r="I243" s="4" t="s">
        <v>831</v>
      </c>
      <c r="J243" s="3" t="s">
        <v>828</v>
      </c>
      <c r="K243" s="3"/>
      <c r="L243" s="3"/>
      <c r="M243" s="30" t="s">
        <v>217</v>
      </c>
    </row>
    <row r="244" spans="1:13" ht="45.75">
      <c r="A244" s="3"/>
      <c r="B244" s="4" t="s">
        <v>862</v>
      </c>
      <c r="C244" s="59" t="s">
        <v>209</v>
      </c>
      <c r="D244" s="4" t="s">
        <v>863</v>
      </c>
      <c r="E244" s="3"/>
      <c r="F244" s="3"/>
      <c r="G244" s="3" t="s">
        <v>213</v>
      </c>
      <c r="H244" s="3" t="s">
        <v>214</v>
      </c>
      <c r="I244" s="4" t="s">
        <v>831</v>
      </c>
      <c r="J244" s="3" t="s">
        <v>828</v>
      </c>
      <c r="K244" s="3"/>
      <c r="L244" s="3"/>
      <c r="M244" s="30" t="s">
        <v>217</v>
      </c>
    </row>
    <row r="245" spans="1:13" ht="45.75">
      <c r="A245" s="3"/>
      <c r="B245" s="4" t="s">
        <v>272</v>
      </c>
      <c r="C245" s="60" t="s">
        <v>209</v>
      </c>
      <c r="D245" s="4" t="s">
        <v>273</v>
      </c>
      <c r="E245" s="3"/>
      <c r="F245" s="3"/>
      <c r="G245" s="3" t="s">
        <v>276</v>
      </c>
      <c r="H245" s="4" t="s">
        <v>864</v>
      </c>
      <c r="I245" s="4" t="s">
        <v>865</v>
      </c>
      <c r="J245" s="3" t="s">
        <v>238</v>
      </c>
      <c r="K245" s="3"/>
      <c r="L245" s="3"/>
      <c r="M245" s="30"/>
    </row>
    <row r="246" spans="1:13" ht="45.75">
      <c r="A246" s="3"/>
      <c r="B246" s="4" t="s">
        <v>866</v>
      </c>
      <c r="C246" s="60" t="s">
        <v>209</v>
      </c>
      <c r="D246" s="4" t="s">
        <v>867</v>
      </c>
      <c r="E246" s="3"/>
      <c r="F246" s="3"/>
      <c r="G246" s="3" t="s">
        <v>236</v>
      </c>
      <c r="H246" s="4" t="s">
        <v>868</v>
      </c>
      <c r="I246" s="3" t="s">
        <v>237</v>
      </c>
      <c r="J246" s="3" t="s">
        <v>238</v>
      </c>
      <c r="K246" s="3"/>
      <c r="L246" s="3"/>
      <c r="M246" s="30"/>
    </row>
    <row r="247" spans="1:13" ht="45.75">
      <c r="A247" s="3"/>
      <c r="B247" s="4" t="s">
        <v>869</v>
      </c>
      <c r="C247" s="59" t="s">
        <v>209</v>
      </c>
      <c r="D247" s="4" t="s">
        <v>870</v>
      </c>
      <c r="E247" s="3"/>
      <c r="F247" s="3"/>
      <c r="G247" s="3" t="s">
        <v>213</v>
      </c>
      <c r="H247" s="4" t="s">
        <v>871</v>
      </c>
      <c r="I247" s="4" t="s">
        <v>831</v>
      </c>
      <c r="J247" s="3" t="s">
        <v>828</v>
      </c>
      <c r="K247" s="3"/>
      <c r="L247" s="3"/>
      <c r="M247" s="30"/>
    </row>
    <row r="248" spans="1:13" ht="30">
      <c r="A248" s="3"/>
      <c r="B248" s="69" t="s">
        <v>872</v>
      </c>
      <c r="C248" s="68" t="s">
        <v>209</v>
      </c>
      <c r="D248" s="69" t="s">
        <v>873</v>
      </c>
      <c r="E248" s="70"/>
      <c r="F248" s="70"/>
      <c r="G248" s="71" t="s">
        <v>874</v>
      </c>
      <c r="H248" s="70" t="s">
        <v>580</v>
      </c>
      <c r="I248" s="70"/>
      <c r="J248" s="70"/>
      <c r="K248" s="70"/>
      <c r="L248" s="70"/>
      <c r="M248" s="30"/>
    </row>
    <row r="249" spans="1:13" ht="30">
      <c r="A249" s="3"/>
      <c r="B249" s="4" t="s">
        <v>875</v>
      </c>
      <c r="C249" s="59" t="s">
        <v>209</v>
      </c>
      <c r="D249" s="4" t="s">
        <v>876</v>
      </c>
      <c r="E249" s="3"/>
      <c r="F249" s="3"/>
      <c r="G249" s="28" t="s">
        <v>874</v>
      </c>
      <c r="H249" s="3" t="s">
        <v>580</v>
      </c>
      <c r="I249" s="3"/>
      <c r="J249" s="3"/>
      <c r="K249" s="3"/>
      <c r="L249" s="3"/>
      <c r="M249" s="30"/>
    </row>
    <row r="250" spans="1:13" ht="30">
      <c r="A250" s="3"/>
      <c r="B250" s="4" t="s">
        <v>877</v>
      </c>
      <c r="C250" s="59" t="s">
        <v>209</v>
      </c>
      <c r="D250" s="4" t="s">
        <v>878</v>
      </c>
      <c r="E250" s="3"/>
      <c r="F250" s="3"/>
      <c r="G250" s="28" t="s">
        <v>874</v>
      </c>
      <c r="H250" s="3" t="s">
        <v>580</v>
      </c>
      <c r="I250" s="3"/>
      <c r="J250" s="3"/>
      <c r="K250" s="3"/>
      <c r="L250" s="3"/>
      <c r="M250" s="30"/>
    </row>
    <row r="251" spans="1:13" ht="30">
      <c r="A251" s="3"/>
      <c r="B251" s="4" t="s">
        <v>879</v>
      </c>
      <c r="C251" s="59" t="s">
        <v>209</v>
      </c>
      <c r="D251" s="4" t="s">
        <v>880</v>
      </c>
      <c r="E251" s="3"/>
      <c r="F251" s="3"/>
      <c r="G251" s="28" t="s">
        <v>874</v>
      </c>
      <c r="H251" s="3" t="s">
        <v>580</v>
      </c>
      <c r="I251" s="3"/>
      <c r="J251" s="3"/>
      <c r="K251" s="3"/>
      <c r="L251" s="3"/>
      <c r="M251" s="30"/>
    </row>
    <row r="252" spans="1:13" ht="30">
      <c r="A252" s="3"/>
      <c r="B252" s="4" t="s">
        <v>881</v>
      </c>
      <c r="C252" s="59" t="s">
        <v>209</v>
      </c>
      <c r="D252" s="4" t="s">
        <v>882</v>
      </c>
      <c r="E252" s="3"/>
      <c r="F252" s="3"/>
      <c r="G252" s="28" t="s">
        <v>874</v>
      </c>
      <c r="H252" s="3" t="s">
        <v>580</v>
      </c>
      <c r="I252" s="3"/>
      <c r="J252" s="3"/>
      <c r="K252" s="3"/>
      <c r="L252" s="3"/>
      <c r="M252" s="30"/>
    </row>
    <row r="253" spans="1:13" ht="30">
      <c r="A253" s="3"/>
      <c r="B253" s="4" t="s">
        <v>883</v>
      </c>
      <c r="C253" s="59" t="s">
        <v>209</v>
      </c>
      <c r="D253" s="4" t="s">
        <v>884</v>
      </c>
      <c r="E253" s="3"/>
      <c r="F253" s="3"/>
      <c r="G253" s="28" t="s">
        <v>874</v>
      </c>
      <c r="H253" s="3" t="s">
        <v>580</v>
      </c>
      <c r="I253" s="3"/>
      <c r="J253" s="3"/>
      <c r="K253" s="3"/>
      <c r="L253" s="3"/>
      <c r="M253" s="30"/>
    </row>
    <row r="254" spans="1:13" ht="30">
      <c r="A254" s="3"/>
      <c r="B254" s="4" t="s">
        <v>885</v>
      </c>
      <c r="C254" s="59" t="s">
        <v>209</v>
      </c>
      <c r="D254" s="4" t="s">
        <v>886</v>
      </c>
      <c r="E254" s="3"/>
      <c r="F254" s="3"/>
      <c r="G254" s="28" t="s">
        <v>874</v>
      </c>
      <c r="H254" s="3" t="s">
        <v>580</v>
      </c>
      <c r="I254" s="3"/>
      <c r="J254" s="3"/>
      <c r="K254" s="3"/>
      <c r="L254" s="3"/>
      <c r="M254" s="30"/>
    </row>
    <row r="255" spans="1:13" ht="30">
      <c r="A255" s="3"/>
      <c r="B255" s="4" t="s">
        <v>887</v>
      </c>
      <c r="C255" s="59" t="s">
        <v>209</v>
      </c>
      <c r="D255" s="4" t="s">
        <v>888</v>
      </c>
      <c r="E255" s="3"/>
      <c r="F255" s="3"/>
      <c r="G255" s="28" t="s">
        <v>874</v>
      </c>
      <c r="H255" s="3" t="s">
        <v>580</v>
      </c>
      <c r="I255" s="3"/>
      <c r="J255" s="3"/>
      <c r="K255" s="3"/>
      <c r="L255" s="3"/>
      <c r="M255" s="30"/>
    </row>
    <row r="256" spans="1:13" ht="30">
      <c r="A256" s="3"/>
      <c r="B256" s="4" t="s">
        <v>889</v>
      </c>
      <c r="C256" s="59" t="s">
        <v>209</v>
      </c>
      <c r="D256" s="4" t="s">
        <v>890</v>
      </c>
      <c r="E256" s="3"/>
      <c r="F256" s="3"/>
      <c r="G256" s="28" t="s">
        <v>874</v>
      </c>
      <c r="H256" s="3" t="s">
        <v>580</v>
      </c>
      <c r="I256" s="3"/>
      <c r="J256" s="3"/>
      <c r="K256" s="3"/>
      <c r="L256" s="3"/>
      <c r="M256" s="30"/>
    </row>
    <row r="257" spans="1:14" ht="30">
      <c r="A257" s="3"/>
      <c r="B257" s="4" t="s">
        <v>891</v>
      </c>
      <c r="C257" s="59" t="s">
        <v>209</v>
      </c>
      <c r="D257" s="4" t="s">
        <v>892</v>
      </c>
      <c r="E257" s="3"/>
      <c r="F257" s="3"/>
      <c r="G257" s="28" t="s">
        <v>874</v>
      </c>
      <c r="H257" s="3" t="s">
        <v>580</v>
      </c>
      <c r="I257" s="3"/>
      <c r="J257" s="3"/>
      <c r="K257" s="3"/>
      <c r="L257" s="3"/>
      <c r="M257" s="30"/>
    </row>
    <row r="258" spans="1:14" ht="30">
      <c r="A258" s="3"/>
      <c r="B258" s="4" t="s">
        <v>893</v>
      </c>
      <c r="C258" s="59" t="s">
        <v>209</v>
      </c>
      <c r="D258" s="4" t="s">
        <v>894</v>
      </c>
      <c r="E258" s="3"/>
      <c r="F258" s="3"/>
      <c r="G258" s="28" t="s">
        <v>874</v>
      </c>
      <c r="H258" s="3" t="s">
        <v>580</v>
      </c>
      <c r="I258" s="3"/>
      <c r="J258" s="3"/>
      <c r="K258" s="3"/>
      <c r="L258" s="3"/>
      <c r="M258" s="30"/>
    </row>
    <row r="259" spans="1:14" ht="45.75">
      <c r="A259" s="3"/>
      <c r="B259" s="4" t="s">
        <v>895</v>
      </c>
      <c r="C259" s="59" t="s">
        <v>209</v>
      </c>
      <c r="D259" s="4" t="s">
        <v>896</v>
      </c>
      <c r="E259" s="3"/>
      <c r="F259" s="3"/>
      <c r="G259" s="28" t="s">
        <v>874</v>
      </c>
      <c r="H259" s="3" t="s">
        <v>580</v>
      </c>
      <c r="I259" s="3"/>
      <c r="J259" s="3"/>
      <c r="K259" s="3"/>
      <c r="L259" s="3"/>
      <c r="M259" s="30"/>
    </row>
    <row r="260" spans="1:14" ht="30">
      <c r="A260" s="3"/>
      <c r="B260" s="4" t="s">
        <v>897</v>
      </c>
      <c r="C260" s="59" t="s">
        <v>209</v>
      </c>
      <c r="D260" s="4" t="s">
        <v>898</v>
      </c>
      <c r="E260" s="3"/>
      <c r="F260" s="3"/>
      <c r="G260" s="28" t="s">
        <v>874</v>
      </c>
      <c r="H260" s="3" t="s">
        <v>580</v>
      </c>
      <c r="I260" s="3"/>
      <c r="J260" s="3"/>
      <c r="K260" s="3"/>
      <c r="L260" s="3"/>
      <c r="M260" s="30"/>
    </row>
    <row r="261" spans="1:14" ht="30">
      <c r="A261" s="3"/>
      <c r="B261" s="4" t="s">
        <v>899</v>
      </c>
      <c r="C261" s="59" t="s">
        <v>209</v>
      </c>
      <c r="D261" s="4" t="s">
        <v>900</v>
      </c>
      <c r="E261" s="3"/>
      <c r="F261" s="3"/>
      <c r="G261" s="28" t="s">
        <v>874</v>
      </c>
      <c r="H261" s="3" t="s">
        <v>580</v>
      </c>
      <c r="I261" s="3"/>
      <c r="J261" s="3"/>
      <c r="K261" s="3"/>
      <c r="L261" s="3"/>
      <c r="M261" s="30"/>
    </row>
    <row r="262" spans="1:14" ht="30">
      <c r="A262" s="3"/>
      <c r="B262" s="4" t="s">
        <v>901</v>
      </c>
      <c r="C262" s="59" t="s">
        <v>209</v>
      </c>
      <c r="D262" s="4" t="s">
        <v>902</v>
      </c>
      <c r="E262" s="3"/>
      <c r="F262" s="3"/>
      <c r="G262" s="28" t="s">
        <v>874</v>
      </c>
      <c r="H262" s="3" t="s">
        <v>580</v>
      </c>
      <c r="I262" s="3"/>
      <c r="J262" s="3"/>
      <c r="K262" s="3"/>
      <c r="L262" s="3"/>
      <c r="M262" s="30"/>
    </row>
    <row r="263" spans="1:14" ht="30">
      <c r="A263" s="3"/>
      <c r="B263" s="4" t="s">
        <v>903</v>
      </c>
      <c r="C263" s="59" t="s">
        <v>209</v>
      </c>
      <c r="D263" s="4" t="s">
        <v>904</v>
      </c>
      <c r="E263" s="3"/>
      <c r="F263" s="3"/>
      <c r="G263" s="28" t="s">
        <v>874</v>
      </c>
      <c r="H263" s="3" t="s">
        <v>580</v>
      </c>
      <c r="I263" s="3"/>
      <c r="J263" s="3"/>
      <c r="K263" s="3"/>
      <c r="L263" s="3"/>
      <c r="M263" s="30"/>
    </row>
    <row r="264" spans="1:14" ht="30">
      <c r="A264" s="3"/>
      <c r="B264" s="4" t="s">
        <v>905</v>
      </c>
      <c r="C264" s="59" t="s">
        <v>209</v>
      </c>
      <c r="D264" s="4" t="s">
        <v>906</v>
      </c>
      <c r="E264" s="3"/>
      <c r="F264" s="3"/>
      <c r="G264" s="28" t="s">
        <v>874</v>
      </c>
      <c r="H264" s="3" t="s">
        <v>580</v>
      </c>
      <c r="I264" s="3"/>
      <c r="J264" s="3"/>
      <c r="K264" s="3"/>
      <c r="L264" s="3"/>
      <c r="M264" s="30"/>
    </row>
    <row r="265" spans="1:14" ht="30">
      <c r="A265" s="3"/>
      <c r="B265" s="4" t="s">
        <v>907</v>
      </c>
      <c r="C265" s="59" t="s">
        <v>209</v>
      </c>
      <c r="D265" s="4" t="s">
        <v>908</v>
      </c>
      <c r="E265" s="3"/>
      <c r="F265" s="3"/>
      <c r="G265" s="28" t="s">
        <v>874</v>
      </c>
      <c r="H265" s="3" t="s">
        <v>580</v>
      </c>
      <c r="I265" s="3"/>
      <c r="J265" s="3"/>
      <c r="K265" s="3"/>
      <c r="L265" s="3"/>
      <c r="M265" s="30"/>
    </row>
    <row r="266" spans="1:14" ht="30">
      <c r="A266" s="3"/>
      <c r="B266" s="4" t="s">
        <v>909</v>
      </c>
      <c r="C266" s="59" t="s">
        <v>209</v>
      </c>
      <c r="D266" s="4" t="s">
        <v>910</v>
      </c>
      <c r="E266" s="3"/>
      <c r="F266" s="3"/>
      <c r="G266" s="28" t="s">
        <v>874</v>
      </c>
      <c r="H266" s="3" t="s">
        <v>580</v>
      </c>
      <c r="I266" s="3"/>
      <c r="J266" s="3"/>
      <c r="K266" s="3"/>
      <c r="L266" s="3"/>
      <c r="M266" s="30"/>
    </row>
    <row r="267" spans="1:14" ht="45.75">
      <c r="A267" s="3"/>
      <c r="B267" s="4" t="s">
        <v>911</v>
      </c>
      <c r="C267" s="59" t="s">
        <v>209</v>
      </c>
      <c r="D267" s="4" t="s">
        <v>912</v>
      </c>
      <c r="E267" s="3"/>
      <c r="F267" s="3"/>
      <c r="G267" s="3" t="s">
        <v>269</v>
      </c>
      <c r="H267" s="4" t="s">
        <v>913</v>
      </c>
      <c r="I267" s="3" t="s">
        <v>270</v>
      </c>
      <c r="J267" s="3" t="s">
        <v>238</v>
      </c>
      <c r="K267" s="3"/>
      <c r="L267" s="3"/>
      <c r="M267" s="30" t="s">
        <v>271</v>
      </c>
      <c r="N267" s="30"/>
    </row>
    <row r="268" spans="1:14" ht="45.75">
      <c r="A268" s="3"/>
      <c r="B268" s="4" t="s">
        <v>914</v>
      </c>
      <c r="C268" s="59" t="s">
        <v>209</v>
      </c>
      <c r="D268" s="4" t="s">
        <v>915</v>
      </c>
      <c r="E268" s="3"/>
      <c r="F268" s="3"/>
      <c r="G268" s="3" t="s">
        <v>269</v>
      </c>
      <c r="H268" s="4" t="s">
        <v>913</v>
      </c>
      <c r="I268" s="3" t="s">
        <v>270</v>
      </c>
      <c r="J268" s="3" t="s">
        <v>238</v>
      </c>
      <c r="K268" s="3"/>
      <c r="L268" s="3"/>
      <c r="M268" s="30" t="s">
        <v>271</v>
      </c>
    </row>
    <row r="269" spans="1:14" ht="45.75">
      <c r="A269" s="3"/>
      <c r="B269" s="4" t="s">
        <v>916</v>
      </c>
      <c r="C269" s="59" t="s">
        <v>209</v>
      </c>
      <c r="D269" s="4" t="s">
        <v>917</v>
      </c>
      <c r="E269" s="3"/>
      <c r="F269" s="3"/>
      <c r="G269" s="3" t="s">
        <v>269</v>
      </c>
      <c r="H269" s="4" t="s">
        <v>913</v>
      </c>
      <c r="I269" s="3" t="s">
        <v>270</v>
      </c>
      <c r="J269" s="3" t="s">
        <v>238</v>
      </c>
      <c r="K269" s="3"/>
      <c r="L269" s="3"/>
      <c r="M269" s="30" t="s">
        <v>271</v>
      </c>
    </row>
    <row r="270" spans="1:14" ht="45.75">
      <c r="A270" s="3"/>
      <c r="B270" s="4" t="s">
        <v>918</v>
      </c>
      <c r="C270" s="59" t="s">
        <v>209</v>
      </c>
      <c r="D270" s="4" t="s">
        <v>919</v>
      </c>
      <c r="E270" s="3"/>
      <c r="F270" s="3"/>
      <c r="G270" s="3" t="s">
        <v>269</v>
      </c>
      <c r="H270" s="4" t="s">
        <v>913</v>
      </c>
      <c r="I270" s="3" t="s">
        <v>270</v>
      </c>
      <c r="J270" s="3" t="s">
        <v>238</v>
      </c>
      <c r="K270" s="3"/>
      <c r="L270" s="3"/>
      <c r="M270" s="30" t="s">
        <v>271</v>
      </c>
    </row>
    <row r="271" spans="1:14" ht="45.75">
      <c r="A271" s="3"/>
      <c r="B271" s="4" t="s">
        <v>920</v>
      </c>
      <c r="C271" s="59" t="s">
        <v>209</v>
      </c>
      <c r="D271" s="4" t="s">
        <v>921</v>
      </c>
      <c r="E271" s="3"/>
      <c r="F271" s="3"/>
      <c r="G271" s="3" t="s">
        <v>269</v>
      </c>
      <c r="H271" s="4" t="s">
        <v>913</v>
      </c>
      <c r="I271" s="3" t="s">
        <v>270</v>
      </c>
      <c r="J271" s="3" t="s">
        <v>238</v>
      </c>
      <c r="K271" s="3"/>
      <c r="L271" s="3"/>
      <c r="M271" s="30" t="s">
        <v>271</v>
      </c>
    </row>
    <row r="272" spans="1:14" ht="45.75">
      <c r="A272" s="3"/>
      <c r="B272" s="4" t="s">
        <v>922</v>
      </c>
      <c r="C272" s="59" t="s">
        <v>209</v>
      </c>
      <c r="D272" s="4" t="s">
        <v>923</v>
      </c>
      <c r="E272" s="3"/>
      <c r="F272" s="3"/>
      <c r="G272" s="3" t="s">
        <v>269</v>
      </c>
      <c r="H272" s="4" t="s">
        <v>913</v>
      </c>
      <c r="I272" s="3" t="s">
        <v>270</v>
      </c>
      <c r="J272" s="3" t="s">
        <v>238</v>
      </c>
      <c r="K272" s="3"/>
      <c r="L272" s="3"/>
      <c r="M272" s="30" t="s">
        <v>271</v>
      </c>
    </row>
    <row r="273" spans="1:13" ht="45.75">
      <c r="A273" s="3"/>
      <c r="B273" s="4" t="s">
        <v>924</v>
      </c>
      <c r="C273" s="59" t="s">
        <v>209</v>
      </c>
      <c r="D273" s="4" t="s">
        <v>925</v>
      </c>
      <c r="E273" s="3"/>
      <c r="F273" s="3"/>
      <c r="G273" s="3" t="s">
        <v>269</v>
      </c>
      <c r="H273" s="4" t="s">
        <v>913</v>
      </c>
      <c r="I273" s="3" t="s">
        <v>270</v>
      </c>
      <c r="J273" s="3" t="s">
        <v>238</v>
      </c>
      <c r="K273" s="3"/>
      <c r="L273" s="3"/>
      <c r="M273" s="30" t="s">
        <v>271</v>
      </c>
    </row>
    <row r="274" spans="1:13" ht="45.75">
      <c r="A274" s="3"/>
      <c r="B274" s="4" t="s">
        <v>926</v>
      </c>
      <c r="C274" s="59" t="s">
        <v>209</v>
      </c>
      <c r="D274" s="4" t="s">
        <v>927</v>
      </c>
      <c r="E274" s="3"/>
      <c r="F274" s="3"/>
      <c r="G274" s="3" t="s">
        <v>269</v>
      </c>
      <c r="H274" s="4" t="s">
        <v>913</v>
      </c>
      <c r="I274" s="3" t="s">
        <v>270</v>
      </c>
      <c r="J274" s="3" t="s">
        <v>238</v>
      </c>
      <c r="K274" s="3"/>
      <c r="L274" s="3"/>
      <c r="M274" s="30" t="s">
        <v>271</v>
      </c>
    </row>
    <row r="275" spans="1:13" ht="45.75">
      <c r="A275" s="3"/>
      <c r="B275" s="4" t="s">
        <v>928</v>
      </c>
      <c r="C275" s="59" t="s">
        <v>209</v>
      </c>
      <c r="D275" s="4" t="s">
        <v>929</v>
      </c>
      <c r="E275" s="3"/>
      <c r="F275" s="3"/>
      <c r="G275" s="3" t="s">
        <v>269</v>
      </c>
      <c r="H275" s="4" t="s">
        <v>913</v>
      </c>
      <c r="I275" s="3" t="s">
        <v>270</v>
      </c>
      <c r="J275" s="3" t="s">
        <v>238</v>
      </c>
      <c r="K275" s="3"/>
      <c r="L275" s="3"/>
      <c r="M275" s="30" t="s">
        <v>271</v>
      </c>
    </row>
    <row r="276" spans="1:13" ht="45.75">
      <c r="A276" s="3"/>
      <c r="B276" s="4" t="s">
        <v>930</v>
      </c>
      <c r="C276" s="59" t="s">
        <v>209</v>
      </c>
      <c r="D276" s="4" t="s">
        <v>931</v>
      </c>
      <c r="E276" s="3"/>
      <c r="F276" s="3"/>
      <c r="G276" s="3" t="s">
        <v>269</v>
      </c>
      <c r="H276" s="4" t="s">
        <v>913</v>
      </c>
      <c r="I276" s="3" t="s">
        <v>270</v>
      </c>
      <c r="J276" s="3" t="s">
        <v>238</v>
      </c>
      <c r="K276" s="3"/>
      <c r="L276" s="3"/>
      <c r="M276" s="30" t="s">
        <v>271</v>
      </c>
    </row>
    <row r="277" spans="1:13" ht="45.75">
      <c r="A277" s="3"/>
      <c r="B277" s="4" t="s">
        <v>932</v>
      </c>
      <c r="C277" s="59" t="s">
        <v>209</v>
      </c>
      <c r="D277" s="4" t="s">
        <v>933</v>
      </c>
      <c r="E277" s="3"/>
      <c r="F277" s="3"/>
      <c r="G277" s="3" t="s">
        <v>269</v>
      </c>
      <c r="H277" s="4" t="s">
        <v>913</v>
      </c>
      <c r="I277" s="3" t="s">
        <v>270</v>
      </c>
      <c r="J277" s="3" t="s">
        <v>238</v>
      </c>
      <c r="K277" s="3"/>
      <c r="L277" s="3"/>
      <c r="M277" s="30" t="s">
        <v>271</v>
      </c>
    </row>
    <row r="278" spans="1:13" ht="45.75">
      <c r="A278" s="3"/>
      <c r="B278" s="4" t="s">
        <v>934</v>
      </c>
      <c r="C278" s="59" t="s">
        <v>209</v>
      </c>
      <c r="D278" s="4" t="s">
        <v>935</v>
      </c>
      <c r="E278" s="3"/>
      <c r="F278" s="3"/>
      <c r="G278" s="3" t="s">
        <v>269</v>
      </c>
      <c r="H278" s="4" t="s">
        <v>913</v>
      </c>
      <c r="I278" s="3" t="s">
        <v>270</v>
      </c>
      <c r="J278" s="3" t="s">
        <v>238</v>
      </c>
      <c r="K278" s="3"/>
      <c r="L278" s="3"/>
      <c r="M278" s="30" t="s">
        <v>271</v>
      </c>
    </row>
    <row r="279" spans="1:13" ht="45.75">
      <c r="A279" s="3"/>
      <c r="B279" s="4" t="s">
        <v>936</v>
      </c>
      <c r="C279" s="59" t="s">
        <v>209</v>
      </c>
      <c r="D279" s="4" t="s">
        <v>937</v>
      </c>
      <c r="E279" s="3"/>
      <c r="F279" s="3"/>
      <c r="G279" s="3" t="s">
        <v>269</v>
      </c>
      <c r="H279" s="4" t="s">
        <v>913</v>
      </c>
      <c r="I279" s="3" t="s">
        <v>270</v>
      </c>
      <c r="J279" s="3" t="s">
        <v>238</v>
      </c>
      <c r="K279" s="3"/>
      <c r="L279" s="3"/>
      <c r="M279" s="30" t="s">
        <v>271</v>
      </c>
    </row>
    <row r="280" spans="1:13" ht="45.75">
      <c r="A280" s="3"/>
      <c r="B280" s="4" t="s">
        <v>938</v>
      </c>
      <c r="C280" s="59" t="s">
        <v>209</v>
      </c>
      <c r="D280" s="4" t="s">
        <v>939</v>
      </c>
      <c r="E280" s="3"/>
      <c r="F280" s="3"/>
      <c r="G280" s="3" t="s">
        <v>269</v>
      </c>
      <c r="H280" s="4" t="s">
        <v>913</v>
      </c>
      <c r="I280" s="3" t="s">
        <v>270</v>
      </c>
      <c r="J280" s="3" t="s">
        <v>238</v>
      </c>
      <c r="K280" s="3"/>
      <c r="L280" s="3"/>
      <c r="M280" s="30" t="s">
        <v>271</v>
      </c>
    </row>
    <row r="281" spans="1:13" ht="45.75">
      <c r="A281" s="3"/>
      <c r="B281" s="4" t="s">
        <v>940</v>
      </c>
      <c r="C281" s="59" t="s">
        <v>209</v>
      </c>
      <c r="D281" s="4" t="s">
        <v>941</v>
      </c>
      <c r="E281" s="3"/>
      <c r="F281" s="3"/>
      <c r="G281" s="3" t="s">
        <v>269</v>
      </c>
      <c r="H281" s="4" t="s">
        <v>913</v>
      </c>
      <c r="I281" s="3" t="s">
        <v>270</v>
      </c>
      <c r="J281" s="3" t="s">
        <v>238</v>
      </c>
      <c r="K281" s="3"/>
      <c r="L281" s="3"/>
      <c r="M281" s="30" t="s">
        <v>271</v>
      </c>
    </row>
    <row r="282" spans="1:13" ht="45.75">
      <c r="A282" s="3"/>
      <c r="B282" s="4" t="s">
        <v>942</v>
      </c>
      <c r="C282" s="59" t="s">
        <v>209</v>
      </c>
      <c r="D282" s="4" t="s">
        <v>943</v>
      </c>
      <c r="E282" s="3"/>
      <c r="F282" s="3"/>
      <c r="G282" s="3" t="s">
        <v>269</v>
      </c>
      <c r="H282" s="4" t="s">
        <v>913</v>
      </c>
      <c r="I282" s="3" t="s">
        <v>270</v>
      </c>
      <c r="J282" s="3" t="s">
        <v>238</v>
      </c>
      <c r="K282" s="3"/>
      <c r="L282" s="3"/>
      <c r="M282" s="30" t="s">
        <v>271</v>
      </c>
    </row>
    <row r="283" spans="1:13" ht="45.75">
      <c r="A283" s="3"/>
      <c r="B283" s="4" t="s">
        <v>944</v>
      </c>
      <c r="C283" s="59" t="s">
        <v>209</v>
      </c>
      <c r="D283" s="4" t="s">
        <v>945</v>
      </c>
      <c r="E283" s="3"/>
      <c r="F283" s="3"/>
      <c r="G283" s="3" t="s">
        <v>269</v>
      </c>
      <c r="H283" s="4" t="s">
        <v>913</v>
      </c>
      <c r="I283" s="3" t="s">
        <v>270</v>
      </c>
      <c r="J283" s="3" t="s">
        <v>238</v>
      </c>
      <c r="K283" s="3"/>
      <c r="L283" s="3"/>
      <c r="M283" s="30" t="s">
        <v>271</v>
      </c>
    </row>
    <row r="284" spans="1:13" ht="45.75">
      <c r="A284" s="3"/>
      <c r="B284" s="4" t="s">
        <v>946</v>
      </c>
      <c r="C284" s="59" t="s">
        <v>209</v>
      </c>
      <c r="D284" s="4" t="s">
        <v>947</v>
      </c>
      <c r="E284" s="3"/>
      <c r="F284" s="3"/>
      <c r="G284" s="3" t="s">
        <v>269</v>
      </c>
      <c r="H284" s="4" t="s">
        <v>913</v>
      </c>
      <c r="I284" s="3" t="s">
        <v>270</v>
      </c>
      <c r="J284" s="3" t="s">
        <v>238</v>
      </c>
      <c r="K284" s="3"/>
      <c r="L284" s="3"/>
      <c r="M284" s="30" t="s">
        <v>271</v>
      </c>
    </row>
    <row r="285" spans="1:13">
      <c r="A285" s="3"/>
      <c r="B285" s="4" t="s">
        <v>209</v>
      </c>
      <c r="C285" s="60" t="s">
        <v>209</v>
      </c>
      <c r="D285" s="4" t="s">
        <v>948</v>
      </c>
      <c r="E285" s="3"/>
      <c r="F285" s="3"/>
      <c r="G285" s="3"/>
      <c r="H285" s="3"/>
      <c r="I285" s="3"/>
      <c r="J285" s="3"/>
      <c r="K285" s="3"/>
      <c r="L285" s="3"/>
      <c r="M285" s="30"/>
    </row>
    <row r="286" spans="1:13" ht="45.75">
      <c r="A286" s="3"/>
      <c r="B286" s="4" t="s">
        <v>949</v>
      </c>
      <c r="C286" s="59" t="s">
        <v>209</v>
      </c>
      <c r="D286" s="4" t="s">
        <v>950</v>
      </c>
      <c r="E286" s="3"/>
      <c r="F286" s="3"/>
      <c r="G286" s="3" t="s">
        <v>244</v>
      </c>
      <c r="H286" s="3" t="s">
        <v>245</v>
      </c>
      <c r="I286" s="3" t="s">
        <v>245</v>
      </c>
      <c r="J286" s="3" t="s">
        <v>246</v>
      </c>
      <c r="K286" s="3"/>
      <c r="L286" s="3"/>
      <c r="M286" s="30" t="s">
        <v>247</v>
      </c>
    </row>
    <row r="287" spans="1:13" ht="45.75">
      <c r="A287" s="3"/>
      <c r="B287" s="4" t="s">
        <v>951</v>
      </c>
      <c r="C287" s="59" t="s">
        <v>209</v>
      </c>
      <c r="D287" s="4" t="s">
        <v>952</v>
      </c>
      <c r="E287" s="3"/>
      <c r="F287" s="3"/>
      <c r="G287" s="3" t="s">
        <v>244</v>
      </c>
      <c r="H287" s="3" t="s">
        <v>245</v>
      </c>
      <c r="I287" s="3" t="s">
        <v>245</v>
      </c>
      <c r="J287" s="3" t="s">
        <v>246</v>
      </c>
      <c r="K287" s="3"/>
      <c r="L287" s="3"/>
      <c r="M287" s="30" t="s">
        <v>247</v>
      </c>
    </row>
    <row r="288" spans="1:13" ht="45.75">
      <c r="A288" s="3"/>
      <c r="B288" s="4" t="s">
        <v>953</v>
      </c>
      <c r="C288" s="59" t="s">
        <v>209</v>
      </c>
      <c r="D288" s="4" t="s">
        <v>954</v>
      </c>
      <c r="E288" s="3"/>
      <c r="F288" s="3"/>
      <c r="G288" s="3" t="s">
        <v>244</v>
      </c>
      <c r="H288" s="3" t="s">
        <v>245</v>
      </c>
      <c r="I288" s="3" t="s">
        <v>245</v>
      </c>
      <c r="J288" s="3" t="s">
        <v>246</v>
      </c>
      <c r="K288" s="3"/>
      <c r="L288" s="3"/>
      <c r="M288" s="30" t="s">
        <v>247</v>
      </c>
    </row>
    <row r="289" spans="1:13" ht="45.75">
      <c r="A289" s="3"/>
      <c r="B289" s="4" t="s">
        <v>955</v>
      </c>
      <c r="C289" s="59" t="s">
        <v>209</v>
      </c>
      <c r="D289" s="4" t="s">
        <v>956</v>
      </c>
      <c r="E289" s="3"/>
      <c r="F289" s="3"/>
      <c r="G289" s="3" t="s">
        <v>244</v>
      </c>
      <c r="H289" s="3" t="s">
        <v>245</v>
      </c>
      <c r="I289" s="3" t="s">
        <v>245</v>
      </c>
      <c r="J289" s="3" t="s">
        <v>246</v>
      </c>
      <c r="K289" s="3"/>
      <c r="L289" s="3"/>
      <c r="M289" s="30" t="s">
        <v>247</v>
      </c>
    </row>
    <row r="290" spans="1:13" ht="45.75">
      <c r="A290" s="3"/>
      <c r="B290" s="4" t="s">
        <v>957</v>
      </c>
      <c r="C290" s="59" t="s">
        <v>209</v>
      </c>
      <c r="D290" s="4" t="s">
        <v>958</v>
      </c>
      <c r="E290" s="3"/>
      <c r="F290" s="3"/>
      <c r="G290" s="3" t="s">
        <v>244</v>
      </c>
      <c r="H290" s="3" t="s">
        <v>245</v>
      </c>
      <c r="I290" s="3" t="s">
        <v>245</v>
      </c>
      <c r="J290" s="3" t="s">
        <v>246</v>
      </c>
      <c r="K290" s="3"/>
      <c r="L290" s="3"/>
      <c r="M290" s="30" t="s">
        <v>247</v>
      </c>
    </row>
    <row r="291" spans="1:13" ht="45.75">
      <c r="A291" s="3"/>
      <c r="B291" s="4" t="s">
        <v>959</v>
      </c>
      <c r="C291" s="59" t="s">
        <v>209</v>
      </c>
      <c r="D291" s="4" t="s">
        <v>960</v>
      </c>
      <c r="E291" s="3"/>
      <c r="F291" s="3"/>
      <c r="G291" s="3" t="s">
        <v>244</v>
      </c>
      <c r="H291" s="3" t="s">
        <v>245</v>
      </c>
      <c r="I291" s="3" t="s">
        <v>245</v>
      </c>
      <c r="J291" s="3" t="s">
        <v>246</v>
      </c>
      <c r="K291" s="3"/>
      <c r="L291" s="3"/>
      <c r="M291" s="30" t="s">
        <v>247</v>
      </c>
    </row>
    <row r="292" spans="1:13" ht="45.75">
      <c r="A292" s="3"/>
      <c r="B292" s="4" t="s">
        <v>961</v>
      </c>
      <c r="C292" s="60" t="s">
        <v>209</v>
      </c>
      <c r="D292" s="4" t="s">
        <v>962</v>
      </c>
      <c r="E292" s="3"/>
      <c r="F292" s="3"/>
      <c r="G292" s="3" t="s">
        <v>259</v>
      </c>
      <c r="H292" s="4" t="s">
        <v>963</v>
      </c>
      <c r="I292" s="3" t="s">
        <v>260</v>
      </c>
      <c r="J292" s="3" t="s">
        <v>238</v>
      </c>
      <c r="K292" s="3"/>
      <c r="L292" s="3"/>
      <c r="M292" s="30" t="s">
        <v>964</v>
      </c>
    </row>
    <row r="293" spans="1:13" ht="45.75">
      <c r="A293" s="3"/>
      <c r="B293" s="4" t="s">
        <v>965</v>
      </c>
      <c r="C293" s="59" t="s">
        <v>209</v>
      </c>
      <c r="D293" s="4" t="s">
        <v>966</v>
      </c>
      <c r="E293" s="3"/>
      <c r="F293" s="3"/>
      <c r="G293" s="3" t="s">
        <v>259</v>
      </c>
      <c r="H293" s="4" t="s">
        <v>963</v>
      </c>
      <c r="I293" s="3" t="s">
        <v>260</v>
      </c>
      <c r="J293" s="3" t="s">
        <v>238</v>
      </c>
      <c r="K293" s="3"/>
      <c r="L293" s="3"/>
      <c r="M293" s="30" t="s">
        <v>964</v>
      </c>
    </row>
    <row r="294" spans="1:13" ht="45.75">
      <c r="A294" s="3"/>
      <c r="B294" s="4" t="s">
        <v>967</v>
      </c>
      <c r="C294" s="59" t="s">
        <v>209</v>
      </c>
      <c r="D294" s="4" t="s">
        <v>968</v>
      </c>
      <c r="E294" s="3"/>
      <c r="F294" s="3"/>
      <c r="G294" s="3" t="s">
        <v>259</v>
      </c>
      <c r="H294" s="4" t="s">
        <v>963</v>
      </c>
      <c r="I294" s="3" t="s">
        <v>260</v>
      </c>
      <c r="J294" s="3" t="s">
        <v>238</v>
      </c>
      <c r="K294" s="3"/>
      <c r="L294" s="3"/>
      <c r="M294" s="30" t="s">
        <v>964</v>
      </c>
    </row>
    <row r="295" spans="1:13" ht="45.75">
      <c r="A295" s="3"/>
      <c r="B295" s="4" t="s">
        <v>969</v>
      </c>
      <c r="C295" s="59" t="s">
        <v>209</v>
      </c>
      <c r="D295" s="4" t="s">
        <v>970</v>
      </c>
      <c r="E295" s="3"/>
      <c r="F295" s="3"/>
      <c r="G295" s="3" t="s">
        <v>259</v>
      </c>
      <c r="H295" s="4" t="s">
        <v>963</v>
      </c>
      <c r="I295" s="3" t="s">
        <v>260</v>
      </c>
      <c r="J295" s="3" t="s">
        <v>238</v>
      </c>
      <c r="K295" s="3"/>
      <c r="L295" s="3"/>
      <c r="M295" s="30" t="s">
        <v>964</v>
      </c>
    </row>
    <row r="296" spans="1:13" ht="45.75">
      <c r="A296" s="3"/>
      <c r="B296" s="4" t="s">
        <v>971</v>
      </c>
      <c r="C296" s="59" t="s">
        <v>209</v>
      </c>
      <c r="D296" s="4" t="s">
        <v>972</v>
      </c>
      <c r="E296" s="3"/>
      <c r="F296" s="3"/>
      <c r="G296" s="3" t="s">
        <v>259</v>
      </c>
      <c r="H296" s="4" t="s">
        <v>963</v>
      </c>
      <c r="I296" s="3" t="s">
        <v>260</v>
      </c>
      <c r="J296" s="3" t="s">
        <v>238</v>
      </c>
      <c r="K296" s="3"/>
      <c r="L296" s="3"/>
      <c r="M296" s="30" t="s">
        <v>964</v>
      </c>
    </row>
    <row r="297" spans="1:13" ht="45.75">
      <c r="A297" s="3"/>
      <c r="B297" s="4" t="s">
        <v>973</v>
      </c>
      <c r="C297" s="59" t="s">
        <v>209</v>
      </c>
      <c r="D297" s="4" t="s">
        <v>974</v>
      </c>
      <c r="E297" s="3"/>
      <c r="F297" s="3"/>
      <c r="G297" s="3" t="s">
        <v>259</v>
      </c>
      <c r="H297" s="4" t="s">
        <v>963</v>
      </c>
      <c r="I297" s="3" t="s">
        <v>260</v>
      </c>
      <c r="J297" s="3" t="s">
        <v>238</v>
      </c>
      <c r="K297" s="3"/>
      <c r="L297" s="3"/>
      <c r="M297" s="30" t="s">
        <v>964</v>
      </c>
    </row>
    <row r="298" spans="1:13" ht="45.75">
      <c r="A298" s="3"/>
      <c r="B298" s="4" t="s">
        <v>975</v>
      </c>
      <c r="C298" s="59" t="s">
        <v>209</v>
      </c>
      <c r="D298" s="4" t="s">
        <v>976</v>
      </c>
      <c r="E298" s="3"/>
      <c r="F298" s="3"/>
      <c r="G298" s="3" t="s">
        <v>259</v>
      </c>
      <c r="H298" s="4" t="s">
        <v>963</v>
      </c>
      <c r="I298" s="3" t="s">
        <v>260</v>
      </c>
      <c r="J298" s="3" t="s">
        <v>238</v>
      </c>
      <c r="K298" s="3"/>
      <c r="L298" s="3"/>
      <c r="M298" s="30" t="s">
        <v>964</v>
      </c>
    </row>
    <row r="299" spans="1:13" ht="45.75">
      <c r="A299" s="3"/>
      <c r="B299" s="4" t="s">
        <v>977</v>
      </c>
      <c r="C299" s="59" t="s">
        <v>209</v>
      </c>
      <c r="D299" s="4" t="s">
        <v>978</v>
      </c>
      <c r="E299" s="3"/>
      <c r="F299" s="3"/>
      <c r="G299" s="3" t="s">
        <v>259</v>
      </c>
      <c r="H299" s="4" t="s">
        <v>963</v>
      </c>
      <c r="I299" s="3" t="s">
        <v>260</v>
      </c>
      <c r="J299" s="3" t="s">
        <v>238</v>
      </c>
      <c r="K299" s="3"/>
      <c r="L299" s="3"/>
      <c r="M299" s="30" t="s">
        <v>964</v>
      </c>
    </row>
    <row r="300" spans="1:13" ht="45.75">
      <c r="A300" s="3"/>
      <c r="B300" s="4" t="s">
        <v>979</v>
      </c>
      <c r="C300" s="59" t="s">
        <v>209</v>
      </c>
      <c r="D300" s="4" t="s">
        <v>980</v>
      </c>
      <c r="E300" s="3"/>
      <c r="F300" s="3"/>
      <c r="G300" s="3" t="s">
        <v>259</v>
      </c>
      <c r="H300" s="4" t="s">
        <v>963</v>
      </c>
      <c r="I300" s="3" t="s">
        <v>260</v>
      </c>
      <c r="J300" s="3" t="s">
        <v>238</v>
      </c>
      <c r="K300" s="3"/>
      <c r="L300" s="3"/>
      <c r="M300" s="30" t="s">
        <v>964</v>
      </c>
    </row>
    <row r="301" spans="1:13" ht="45.75">
      <c r="A301" s="3"/>
      <c r="B301" s="4" t="s">
        <v>981</v>
      </c>
      <c r="C301" s="59" t="s">
        <v>209</v>
      </c>
      <c r="D301" s="4" t="s">
        <v>982</v>
      </c>
      <c r="E301" s="3"/>
      <c r="F301" s="3"/>
      <c r="G301" s="3" t="s">
        <v>259</v>
      </c>
      <c r="H301" s="4" t="s">
        <v>963</v>
      </c>
      <c r="I301" s="3" t="s">
        <v>260</v>
      </c>
      <c r="J301" s="3" t="s">
        <v>238</v>
      </c>
      <c r="K301" s="3"/>
      <c r="L301" s="3"/>
      <c r="M301" s="30" t="s">
        <v>964</v>
      </c>
    </row>
    <row r="302" spans="1:13" ht="45.75">
      <c r="A302" s="3"/>
      <c r="B302" s="4" t="s">
        <v>983</v>
      </c>
      <c r="C302" s="59" t="s">
        <v>209</v>
      </c>
      <c r="D302" s="4" t="s">
        <v>984</v>
      </c>
      <c r="E302" s="3"/>
      <c r="F302" s="3"/>
      <c r="G302" s="3" t="s">
        <v>259</v>
      </c>
      <c r="H302" s="4" t="s">
        <v>963</v>
      </c>
      <c r="I302" s="3" t="s">
        <v>260</v>
      </c>
      <c r="J302" s="3" t="s">
        <v>238</v>
      </c>
      <c r="K302" s="3"/>
      <c r="L302" s="3"/>
      <c r="M302" s="30" t="s">
        <v>964</v>
      </c>
    </row>
    <row r="303" spans="1:13" ht="45.75">
      <c r="A303" s="3"/>
      <c r="B303" s="4" t="s">
        <v>985</v>
      </c>
      <c r="C303" s="59" t="s">
        <v>209</v>
      </c>
      <c r="D303" s="4" t="s">
        <v>986</v>
      </c>
      <c r="E303" s="3"/>
      <c r="F303" s="3"/>
      <c r="G303" s="3" t="s">
        <v>259</v>
      </c>
      <c r="H303" s="4" t="s">
        <v>963</v>
      </c>
      <c r="I303" s="3" t="s">
        <v>260</v>
      </c>
      <c r="J303" s="3" t="s">
        <v>238</v>
      </c>
      <c r="K303" s="3"/>
      <c r="L303" s="3"/>
      <c r="M303" s="30" t="s">
        <v>964</v>
      </c>
    </row>
    <row r="304" spans="1:13" ht="45.75">
      <c r="A304" s="3"/>
      <c r="B304" s="4" t="s">
        <v>987</v>
      </c>
      <c r="C304" s="59" t="s">
        <v>209</v>
      </c>
      <c r="D304" s="4" t="s">
        <v>988</v>
      </c>
      <c r="E304" s="3"/>
      <c r="F304" s="3"/>
      <c r="G304" s="3" t="s">
        <v>259</v>
      </c>
      <c r="H304" s="4" t="s">
        <v>963</v>
      </c>
      <c r="I304" s="3" t="s">
        <v>260</v>
      </c>
      <c r="J304" s="3" t="s">
        <v>238</v>
      </c>
      <c r="K304" s="3"/>
      <c r="L304" s="3"/>
      <c r="M304" s="30" t="s">
        <v>964</v>
      </c>
    </row>
    <row r="305" spans="1:13" ht="45.75">
      <c r="A305" s="3"/>
      <c r="B305" s="4" t="s">
        <v>989</v>
      </c>
      <c r="C305" s="59" t="s">
        <v>209</v>
      </c>
      <c r="D305" s="4" t="s">
        <v>990</v>
      </c>
      <c r="E305" s="3"/>
      <c r="F305" s="3"/>
      <c r="G305" s="3" t="s">
        <v>259</v>
      </c>
      <c r="H305" s="4" t="s">
        <v>963</v>
      </c>
      <c r="I305" s="3" t="s">
        <v>260</v>
      </c>
      <c r="J305" s="3" t="s">
        <v>238</v>
      </c>
      <c r="K305" s="3"/>
      <c r="L305" s="3"/>
      <c r="M305" s="30" t="s">
        <v>964</v>
      </c>
    </row>
    <row r="306" spans="1:13" ht="45.75">
      <c r="A306" s="3"/>
      <c r="B306" s="4" t="s">
        <v>991</v>
      </c>
      <c r="C306" s="59" t="s">
        <v>209</v>
      </c>
      <c r="D306" s="4" t="s">
        <v>992</v>
      </c>
      <c r="E306" s="3"/>
      <c r="F306" s="3"/>
      <c r="G306" s="3" t="s">
        <v>259</v>
      </c>
      <c r="H306" s="4" t="s">
        <v>963</v>
      </c>
      <c r="I306" s="3" t="s">
        <v>260</v>
      </c>
      <c r="J306" s="3" t="s">
        <v>238</v>
      </c>
      <c r="K306" s="3"/>
      <c r="L306" s="3"/>
      <c r="M306" s="30" t="s">
        <v>964</v>
      </c>
    </row>
    <row r="307" spans="1:13" ht="45.75">
      <c r="A307" s="3"/>
      <c r="B307" s="4" t="s">
        <v>993</v>
      </c>
      <c r="C307" s="59" t="s">
        <v>209</v>
      </c>
      <c r="D307" s="4" t="s">
        <v>994</v>
      </c>
      <c r="E307" s="3"/>
      <c r="F307" s="3"/>
      <c r="G307" s="3" t="s">
        <v>259</v>
      </c>
      <c r="H307" s="4" t="s">
        <v>963</v>
      </c>
      <c r="I307" s="3" t="s">
        <v>260</v>
      </c>
      <c r="J307" s="3" t="s">
        <v>238</v>
      </c>
      <c r="K307" s="3"/>
      <c r="L307" s="3"/>
      <c r="M307" s="30" t="s">
        <v>964</v>
      </c>
    </row>
    <row r="308" spans="1:13" ht="45.75">
      <c r="A308" s="3"/>
      <c r="B308" s="4" t="s">
        <v>995</v>
      </c>
      <c r="C308" s="59" t="s">
        <v>209</v>
      </c>
      <c r="D308" s="4" t="s">
        <v>996</v>
      </c>
      <c r="E308" s="3"/>
      <c r="F308" s="3"/>
      <c r="G308" s="3" t="s">
        <v>259</v>
      </c>
      <c r="H308" s="4" t="s">
        <v>963</v>
      </c>
      <c r="I308" s="3" t="s">
        <v>260</v>
      </c>
      <c r="J308" s="3" t="s">
        <v>238</v>
      </c>
      <c r="K308" s="3"/>
      <c r="L308" s="3"/>
      <c r="M308" s="30" t="s">
        <v>964</v>
      </c>
    </row>
    <row r="309" spans="1:13" ht="45.75">
      <c r="A309" s="3"/>
      <c r="B309" s="4" t="s">
        <v>997</v>
      </c>
      <c r="C309" s="58" t="s">
        <v>209</v>
      </c>
      <c r="D309" s="4" t="s">
        <v>998</v>
      </c>
      <c r="E309" s="3"/>
      <c r="F309" s="3"/>
      <c r="G309" s="3" t="s">
        <v>276</v>
      </c>
      <c r="H309" s="4" t="s">
        <v>864</v>
      </c>
      <c r="I309" s="4" t="s">
        <v>865</v>
      </c>
      <c r="J309" s="3" t="s">
        <v>238</v>
      </c>
      <c r="K309" s="3"/>
      <c r="L309" s="3"/>
      <c r="M309" s="30" t="s">
        <v>278</v>
      </c>
    </row>
    <row r="310" spans="1:13" ht="45.75">
      <c r="A310" s="3"/>
      <c r="B310" s="4" t="s">
        <v>999</v>
      </c>
      <c r="C310" s="58" t="s">
        <v>209</v>
      </c>
      <c r="D310" s="4" t="s">
        <v>1000</v>
      </c>
      <c r="E310" s="3"/>
      <c r="F310" s="3"/>
      <c r="G310" s="3" t="s">
        <v>276</v>
      </c>
      <c r="H310" s="4" t="s">
        <v>864</v>
      </c>
      <c r="I310" s="4" t="s">
        <v>865</v>
      </c>
      <c r="J310" s="3" t="s">
        <v>238</v>
      </c>
      <c r="K310" s="3"/>
      <c r="L310" s="3"/>
      <c r="M310" s="30" t="s">
        <v>278</v>
      </c>
    </row>
    <row r="311" spans="1:13" ht="45.75">
      <c r="A311" s="3"/>
      <c r="B311" s="4" t="s">
        <v>1001</v>
      </c>
      <c r="C311" s="58" t="s">
        <v>209</v>
      </c>
      <c r="D311" s="4" t="s">
        <v>1002</v>
      </c>
      <c r="E311" s="3"/>
      <c r="F311" s="3"/>
      <c r="G311" s="3" t="s">
        <v>276</v>
      </c>
      <c r="H311" s="4" t="s">
        <v>864</v>
      </c>
      <c r="I311" s="4" t="s">
        <v>865</v>
      </c>
      <c r="J311" s="3" t="s">
        <v>238</v>
      </c>
      <c r="K311" s="3"/>
      <c r="L311" s="3"/>
      <c r="M311" s="30" t="s">
        <v>278</v>
      </c>
    </row>
    <row r="312" spans="1:13" ht="45.75">
      <c r="A312" s="3"/>
      <c r="B312" s="4" t="s">
        <v>1003</v>
      </c>
      <c r="C312" s="58" t="s">
        <v>209</v>
      </c>
      <c r="D312" s="4" t="s">
        <v>1004</v>
      </c>
      <c r="E312" s="3"/>
      <c r="F312" s="3"/>
      <c r="G312" s="3" t="s">
        <v>276</v>
      </c>
      <c r="H312" s="4" t="s">
        <v>864</v>
      </c>
      <c r="I312" s="4" t="s">
        <v>865</v>
      </c>
      <c r="J312" s="3" t="s">
        <v>238</v>
      </c>
      <c r="K312" s="3"/>
      <c r="L312" s="3"/>
      <c r="M312" s="30" t="s">
        <v>278</v>
      </c>
    </row>
    <row r="313" spans="1:13" ht="45.75">
      <c r="A313" s="3"/>
      <c r="B313" s="4" t="s">
        <v>1005</v>
      </c>
      <c r="C313" s="58" t="s">
        <v>209</v>
      </c>
      <c r="D313" s="4" t="s">
        <v>1006</v>
      </c>
      <c r="E313" s="3"/>
      <c r="F313" s="3"/>
      <c r="G313" s="3" t="s">
        <v>276</v>
      </c>
      <c r="H313" s="4" t="s">
        <v>864</v>
      </c>
      <c r="I313" s="4" t="s">
        <v>865</v>
      </c>
      <c r="J313" s="3" t="s">
        <v>238</v>
      </c>
      <c r="K313" s="3"/>
      <c r="L313" s="3"/>
      <c r="M313" s="30" t="s">
        <v>278</v>
      </c>
    </row>
    <row r="314" spans="1:13" ht="45.75">
      <c r="A314" s="3"/>
      <c r="B314" s="4" t="s">
        <v>1007</v>
      </c>
      <c r="C314" s="58" t="s">
        <v>209</v>
      </c>
      <c r="D314" s="4" t="s">
        <v>1008</v>
      </c>
      <c r="E314" s="3"/>
      <c r="F314" s="3"/>
      <c r="G314" s="3" t="s">
        <v>276</v>
      </c>
      <c r="H314" s="4" t="s">
        <v>864</v>
      </c>
      <c r="I314" s="4" t="s">
        <v>865</v>
      </c>
      <c r="J314" s="3" t="s">
        <v>238</v>
      </c>
      <c r="K314" s="3"/>
      <c r="L314" s="3"/>
      <c r="M314" s="30" t="s">
        <v>278</v>
      </c>
    </row>
    <row r="315" spans="1:13" ht="45.75">
      <c r="A315" s="3"/>
      <c r="B315" s="4" t="s">
        <v>1009</v>
      </c>
      <c r="C315" s="58" t="s">
        <v>209</v>
      </c>
      <c r="D315" s="4" t="s">
        <v>1010</v>
      </c>
      <c r="E315" s="3"/>
      <c r="F315" s="3"/>
      <c r="G315" s="3" t="s">
        <v>276</v>
      </c>
      <c r="H315" s="4" t="s">
        <v>864</v>
      </c>
      <c r="I315" s="4" t="s">
        <v>865</v>
      </c>
      <c r="J315" s="3" t="s">
        <v>238</v>
      </c>
      <c r="K315" s="3"/>
      <c r="L315" s="3"/>
      <c r="M315" s="30" t="s">
        <v>278</v>
      </c>
    </row>
    <row r="316" spans="1:13" ht="45.75">
      <c r="A316" s="3"/>
      <c r="B316" s="4" t="s">
        <v>1011</v>
      </c>
      <c r="C316" s="58" t="s">
        <v>209</v>
      </c>
      <c r="D316" s="4" t="s">
        <v>1012</v>
      </c>
      <c r="E316" s="3"/>
      <c r="F316" s="3"/>
      <c r="G316" s="3" t="s">
        <v>276</v>
      </c>
      <c r="H316" s="4" t="s">
        <v>864</v>
      </c>
      <c r="I316" s="4" t="s">
        <v>865</v>
      </c>
      <c r="J316" s="3" t="s">
        <v>238</v>
      </c>
      <c r="K316" s="3"/>
      <c r="L316" s="3"/>
      <c r="M316" s="30" t="s">
        <v>278</v>
      </c>
    </row>
    <row r="317" spans="1:13" ht="45.75">
      <c r="A317" s="3"/>
      <c r="B317" s="4" t="s">
        <v>1013</v>
      </c>
      <c r="C317" s="58" t="s">
        <v>209</v>
      </c>
      <c r="D317" s="4" t="s">
        <v>1014</v>
      </c>
      <c r="E317" s="3"/>
      <c r="F317" s="3"/>
      <c r="G317" s="3" t="s">
        <v>276</v>
      </c>
      <c r="H317" s="4" t="s">
        <v>864</v>
      </c>
      <c r="I317" s="4" t="s">
        <v>865</v>
      </c>
      <c r="J317" s="3" t="s">
        <v>238</v>
      </c>
      <c r="K317" s="3"/>
      <c r="L317" s="3"/>
      <c r="M317" s="30" t="s">
        <v>278</v>
      </c>
    </row>
    <row r="318" spans="1:13" ht="45.75">
      <c r="A318" s="3"/>
      <c r="B318" s="4" t="s">
        <v>1015</v>
      </c>
      <c r="C318" s="58" t="s">
        <v>209</v>
      </c>
      <c r="D318" s="4" t="s">
        <v>1016</v>
      </c>
      <c r="E318" s="3"/>
      <c r="F318" s="3"/>
      <c r="G318" s="3" t="s">
        <v>276</v>
      </c>
      <c r="H318" s="4" t="s">
        <v>864</v>
      </c>
      <c r="I318" s="4" t="s">
        <v>865</v>
      </c>
      <c r="J318" s="3" t="s">
        <v>238</v>
      </c>
      <c r="K318" s="3"/>
      <c r="L318" s="3"/>
      <c r="M318" s="30" t="s">
        <v>278</v>
      </c>
    </row>
    <row r="319" spans="1:13" ht="45.75">
      <c r="A319" s="3"/>
      <c r="B319" s="4" t="s">
        <v>1017</v>
      </c>
      <c r="C319" s="58" t="s">
        <v>209</v>
      </c>
      <c r="D319" s="4" t="s">
        <v>1018</v>
      </c>
      <c r="E319" s="3"/>
      <c r="F319" s="3"/>
      <c r="G319" s="3" t="s">
        <v>276</v>
      </c>
      <c r="H319" s="4" t="s">
        <v>864</v>
      </c>
      <c r="I319" s="4" t="s">
        <v>865</v>
      </c>
      <c r="J319" s="3" t="s">
        <v>238</v>
      </c>
      <c r="K319" s="3"/>
      <c r="L319" s="3"/>
      <c r="M319" s="30" t="s">
        <v>278</v>
      </c>
    </row>
    <row r="320" spans="1:13" ht="45.75">
      <c r="A320" s="3"/>
      <c r="B320" s="4" t="s">
        <v>1019</v>
      </c>
      <c r="C320" s="58" t="s">
        <v>209</v>
      </c>
      <c r="D320" s="4" t="s">
        <v>1020</v>
      </c>
      <c r="E320" s="3"/>
      <c r="F320" s="3"/>
      <c r="G320" s="3" t="s">
        <v>276</v>
      </c>
      <c r="H320" s="4" t="s">
        <v>864</v>
      </c>
      <c r="I320" s="4" t="s">
        <v>865</v>
      </c>
      <c r="J320" s="3" t="s">
        <v>238</v>
      </c>
      <c r="K320" s="3"/>
      <c r="L320" s="3"/>
      <c r="M320" s="30" t="s">
        <v>278</v>
      </c>
    </row>
    <row r="321" spans="1:13" ht="45.75">
      <c r="A321" s="3"/>
      <c r="B321" s="4" t="s">
        <v>1021</v>
      </c>
      <c r="C321" s="58" t="s">
        <v>209</v>
      </c>
      <c r="D321" s="4" t="s">
        <v>1022</v>
      </c>
      <c r="E321" s="3"/>
      <c r="F321" s="3"/>
      <c r="G321" s="3" t="s">
        <v>276</v>
      </c>
      <c r="H321" s="4" t="s">
        <v>864</v>
      </c>
      <c r="I321" s="4" t="s">
        <v>865</v>
      </c>
      <c r="J321" s="3" t="s">
        <v>238</v>
      </c>
      <c r="K321" s="3"/>
      <c r="L321" s="3"/>
      <c r="M321" s="30" t="s">
        <v>278</v>
      </c>
    </row>
    <row r="322" spans="1:13" ht="45.75">
      <c r="A322" s="3"/>
      <c r="B322" s="4" t="s">
        <v>1023</v>
      </c>
      <c r="C322" s="58" t="s">
        <v>209</v>
      </c>
      <c r="D322" s="4" t="s">
        <v>1024</v>
      </c>
      <c r="E322" s="3"/>
      <c r="F322" s="3"/>
      <c r="G322" s="3" t="s">
        <v>276</v>
      </c>
      <c r="H322" s="4" t="s">
        <v>864</v>
      </c>
      <c r="I322" s="4" t="s">
        <v>865</v>
      </c>
      <c r="J322" s="3" t="s">
        <v>238</v>
      </c>
      <c r="K322" s="3"/>
      <c r="L322" s="3"/>
      <c r="M322" s="30" t="s">
        <v>278</v>
      </c>
    </row>
    <row r="323" spans="1:13" ht="45.75">
      <c r="A323" s="3"/>
      <c r="B323" s="4" t="s">
        <v>1025</v>
      </c>
      <c r="C323" s="58" t="s">
        <v>209</v>
      </c>
      <c r="D323" s="4" t="s">
        <v>1026</v>
      </c>
      <c r="E323" s="3"/>
      <c r="F323" s="3"/>
      <c r="G323" s="3" t="s">
        <v>276</v>
      </c>
      <c r="H323" s="4" t="s">
        <v>864</v>
      </c>
      <c r="I323" s="4" t="s">
        <v>865</v>
      </c>
      <c r="J323" s="3" t="s">
        <v>238</v>
      </c>
      <c r="K323" s="3"/>
      <c r="L323" s="3"/>
      <c r="M323" s="30" t="s">
        <v>278</v>
      </c>
    </row>
    <row r="324" spans="1:13" ht="45.75">
      <c r="A324" s="3"/>
      <c r="B324" s="4" t="s">
        <v>1027</v>
      </c>
      <c r="C324" s="58" t="s">
        <v>209</v>
      </c>
      <c r="D324" s="4" t="s">
        <v>1028</v>
      </c>
      <c r="E324" s="3"/>
      <c r="F324" s="3"/>
      <c r="G324" s="3" t="s">
        <v>276</v>
      </c>
      <c r="H324" s="4" t="s">
        <v>864</v>
      </c>
      <c r="I324" s="4" t="s">
        <v>865</v>
      </c>
      <c r="J324" s="3" t="s">
        <v>238</v>
      </c>
      <c r="K324" s="3"/>
      <c r="L324" s="3"/>
      <c r="M324" s="30" t="s">
        <v>278</v>
      </c>
    </row>
    <row r="325" spans="1:13" ht="45.75">
      <c r="A325" s="3"/>
      <c r="B325" s="4" t="s">
        <v>1029</v>
      </c>
      <c r="C325" s="59" t="s">
        <v>298</v>
      </c>
      <c r="D325" s="4" t="s">
        <v>1030</v>
      </c>
      <c r="E325" s="3"/>
      <c r="F325" s="3"/>
      <c r="G325" s="3" t="s">
        <v>317</v>
      </c>
      <c r="H325" s="4" t="s">
        <v>1031</v>
      </c>
      <c r="I325" s="3"/>
      <c r="J325" s="3" t="s">
        <v>1032</v>
      </c>
      <c r="K325" s="3"/>
      <c r="L325" s="3"/>
      <c r="M325" s="30" t="s">
        <v>1033</v>
      </c>
    </row>
    <row r="326" spans="1:13" ht="45.75">
      <c r="A326" s="3"/>
      <c r="B326" s="4" t="s">
        <v>1034</v>
      </c>
      <c r="C326" s="59" t="s">
        <v>298</v>
      </c>
      <c r="D326" s="4" t="s">
        <v>1035</v>
      </c>
      <c r="E326" s="3"/>
      <c r="F326" s="3"/>
      <c r="G326" s="3" t="s">
        <v>317</v>
      </c>
      <c r="H326" s="4" t="s">
        <v>1031</v>
      </c>
      <c r="I326" s="3"/>
      <c r="J326" s="3" t="s">
        <v>1036</v>
      </c>
      <c r="K326" s="3"/>
      <c r="L326" s="3"/>
      <c r="M326" s="30" t="s">
        <v>1033</v>
      </c>
    </row>
    <row r="327" spans="1:13" ht="45.75">
      <c r="A327" s="3"/>
      <c r="B327" s="4" t="s">
        <v>1037</v>
      </c>
      <c r="C327" s="59" t="s">
        <v>298</v>
      </c>
      <c r="D327" s="4" t="s">
        <v>1038</v>
      </c>
      <c r="E327" s="3"/>
      <c r="F327" s="3"/>
      <c r="G327" s="3" t="s">
        <v>317</v>
      </c>
      <c r="H327" s="4" t="s">
        <v>1031</v>
      </c>
      <c r="I327" s="3"/>
      <c r="J327" s="3" t="s">
        <v>1039</v>
      </c>
      <c r="K327" s="3"/>
      <c r="L327" s="3"/>
      <c r="M327" s="30" t="s">
        <v>1033</v>
      </c>
    </row>
    <row r="328" spans="1:13" ht="45.75">
      <c r="A328" s="3"/>
      <c r="B328" s="4" t="s">
        <v>1040</v>
      </c>
      <c r="C328" s="59" t="s">
        <v>298</v>
      </c>
      <c r="D328" s="4" t="s">
        <v>1041</v>
      </c>
      <c r="E328" s="3"/>
      <c r="F328" s="3"/>
      <c r="G328" s="3" t="s">
        <v>317</v>
      </c>
      <c r="H328" s="4" t="s">
        <v>1031</v>
      </c>
      <c r="I328" s="3"/>
      <c r="J328" s="3" t="s">
        <v>1042</v>
      </c>
      <c r="K328" s="3"/>
      <c r="L328" s="3"/>
      <c r="M328" s="30" t="s">
        <v>1033</v>
      </c>
    </row>
    <row r="329" spans="1:13" ht="45.75">
      <c r="A329" s="3"/>
      <c r="B329" s="4" t="s">
        <v>1043</v>
      </c>
      <c r="C329" s="59" t="s">
        <v>298</v>
      </c>
      <c r="D329" s="4" t="s">
        <v>1044</v>
      </c>
      <c r="E329" s="3"/>
      <c r="F329" s="3"/>
      <c r="G329" s="3" t="s">
        <v>317</v>
      </c>
      <c r="H329" s="4" t="s">
        <v>1031</v>
      </c>
      <c r="I329" s="3"/>
      <c r="J329" s="3" t="s">
        <v>1045</v>
      </c>
      <c r="K329" s="3"/>
      <c r="L329" s="3"/>
      <c r="M329" s="30" t="s">
        <v>1033</v>
      </c>
    </row>
    <row r="330" spans="1:13" ht="45.75">
      <c r="A330" s="3"/>
      <c r="B330" s="4" t="s">
        <v>1046</v>
      </c>
      <c r="C330" s="59" t="s">
        <v>298</v>
      </c>
      <c r="D330" s="4" t="s">
        <v>1047</v>
      </c>
      <c r="E330" s="3"/>
      <c r="F330" s="3"/>
      <c r="G330" s="3" t="s">
        <v>317</v>
      </c>
      <c r="H330" s="4" t="s">
        <v>1031</v>
      </c>
      <c r="I330" s="3"/>
      <c r="J330" s="3" t="s">
        <v>1048</v>
      </c>
      <c r="K330" s="3"/>
      <c r="L330" s="3"/>
      <c r="M330" s="30" t="s">
        <v>1033</v>
      </c>
    </row>
    <row r="331" spans="1:13" ht="45.75">
      <c r="A331" s="3"/>
      <c r="B331" s="4" t="s">
        <v>1049</v>
      </c>
      <c r="C331" s="59" t="s">
        <v>298</v>
      </c>
      <c r="D331" s="4" t="s">
        <v>1050</v>
      </c>
      <c r="E331" s="3"/>
      <c r="F331" s="3"/>
      <c r="G331" s="3" t="s">
        <v>317</v>
      </c>
      <c r="H331" s="4" t="s">
        <v>1031</v>
      </c>
      <c r="I331" s="3"/>
      <c r="J331" s="3" t="s">
        <v>1051</v>
      </c>
      <c r="K331" s="3"/>
      <c r="L331" s="3"/>
      <c r="M331" s="30" t="s">
        <v>1033</v>
      </c>
    </row>
    <row r="332" spans="1:13" ht="45.75">
      <c r="A332" s="3"/>
      <c r="B332" s="4" t="s">
        <v>1052</v>
      </c>
      <c r="C332" s="59" t="s">
        <v>298</v>
      </c>
      <c r="D332" s="4" t="s">
        <v>1053</v>
      </c>
      <c r="E332" s="3"/>
      <c r="F332" s="3"/>
      <c r="G332" s="3" t="s">
        <v>317</v>
      </c>
      <c r="H332" s="4" t="s">
        <v>1031</v>
      </c>
      <c r="I332" s="3"/>
      <c r="J332" s="3" t="s">
        <v>1054</v>
      </c>
      <c r="K332" s="3"/>
      <c r="L332" s="3"/>
      <c r="M332" s="30" t="s">
        <v>1033</v>
      </c>
    </row>
    <row r="333" spans="1:13" ht="45.75">
      <c r="A333" s="3"/>
      <c r="B333" s="4" t="s">
        <v>1055</v>
      </c>
      <c r="C333" s="59" t="s">
        <v>298</v>
      </c>
      <c r="D333" s="4" t="s">
        <v>1056</v>
      </c>
      <c r="E333" s="3"/>
      <c r="F333" s="3"/>
      <c r="G333" s="3" t="s">
        <v>317</v>
      </c>
      <c r="H333" s="4" t="s">
        <v>1031</v>
      </c>
      <c r="I333" s="3"/>
      <c r="J333" s="3" t="s">
        <v>1057</v>
      </c>
      <c r="K333" s="3"/>
      <c r="L333" s="3"/>
      <c r="M333" s="30" t="s">
        <v>1033</v>
      </c>
    </row>
    <row r="334" spans="1:13" ht="45.75">
      <c r="A334" s="3"/>
      <c r="B334" s="4" t="s">
        <v>1058</v>
      </c>
      <c r="C334" s="59" t="s">
        <v>298</v>
      </c>
      <c r="D334" s="4" t="s">
        <v>1059</v>
      </c>
      <c r="E334" s="3"/>
      <c r="F334" s="3"/>
      <c r="G334" s="3" t="s">
        <v>317</v>
      </c>
      <c r="H334" s="4" t="s">
        <v>1031</v>
      </c>
      <c r="I334" s="3"/>
      <c r="J334" s="3" t="s">
        <v>1060</v>
      </c>
      <c r="K334" s="3"/>
      <c r="L334" s="3"/>
      <c r="M334" s="30" t="s">
        <v>1033</v>
      </c>
    </row>
    <row r="335" spans="1:13" ht="45.75">
      <c r="A335" s="3"/>
      <c r="B335" s="4" t="s">
        <v>1061</v>
      </c>
      <c r="C335" s="59" t="s">
        <v>298</v>
      </c>
      <c r="D335" s="4" t="s">
        <v>1062</v>
      </c>
      <c r="E335" s="3"/>
      <c r="F335" s="3"/>
      <c r="G335" s="3" t="s">
        <v>317</v>
      </c>
      <c r="H335" s="4" t="s">
        <v>1031</v>
      </c>
      <c r="I335" s="3"/>
      <c r="J335" s="3" t="s">
        <v>1063</v>
      </c>
      <c r="K335" s="3"/>
      <c r="L335" s="3"/>
      <c r="M335" s="30" t="s">
        <v>1033</v>
      </c>
    </row>
    <row r="336" spans="1:13" ht="45.75">
      <c r="A336" s="3"/>
      <c r="B336" s="4" t="s">
        <v>1064</v>
      </c>
      <c r="C336" s="59" t="s">
        <v>298</v>
      </c>
      <c r="D336" s="4" t="s">
        <v>1065</v>
      </c>
      <c r="E336" s="3"/>
      <c r="F336" s="3"/>
      <c r="G336" s="3" t="s">
        <v>317</v>
      </c>
      <c r="H336" s="4" t="s">
        <v>1031</v>
      </c>
      <c r="I336" s="3"/>
      <c r="J336" s="3" t="s">
        <v>1066</v>
      </c>
      <c r="K336" s="3"/>
      <c r="L336" s="3"/>
      <c r="M336" s="30" t="s">
        <v>1033</v>
      </c>
    </row>
    <row r="337" spans="1:13" ht="45.75">
      <c r="A337" s="3"/>
      <c r="B337" s="4" t="s">
        <v>1067</v>
      </c>
      <c r="C337" s="59" t="s">
        <v>298</v>
      </c>
      <c r="D337" s="4" t="s">
        <v>1068</v>
      </c>
      <c r="E337" s="3"/>
      <c r="F337" s="3"/>
      <c r="G337" s="3" t="s">
        <v>317</v>
      </c>
      <c r="H337" s="4" t="s">
        <v>1031</v>
      </c>
      <c r="I337" s="3"/>
      <c r="J337" s="3" t="s">
        <v>1069</v>
      </c>
      <c r="K337" s="3"/>
      <c r="L337" s="3"/>
      <c r="M337" s="30" t="s">
        <v>1033</v>
      </c>
    </row>
    <row r="338" spans="1:13" ht="45.75">
      <c r="A338" s="3"/>
      <c r="B338" s="4" t="s">
        <v>1070</v>
      </c>
      <c r="C338" s="59" t="s">
        <v>298</v>
      </c>
      <c r="D338" s="4" t="s">
        <v>1071</v>
      </c>
      <c r="E338" s="3"/>
      <c r="F338" s="3"/>
      <c r="G338" s="3" t="s">
        <v>317</v>
      </c>
      <c r="H338" s="4" t="s">
        <v>1031</v>
      </c>
      <c r="I338" s="3"/>
      <c r="J338" s="3" t="s">
        <v>1072</v>
      </c>
      <c r="K338" s="3"/>
      <c r="L338" s="3"/>
      <c r="M338" s="30" t="s">
        <v>1033</v>
      </c>
    </row>
    <row r="339" spans="1:13" ht="45.75">
      <c r="A339" s="3"/>
      <c r="B339" s="4" t="s">
        <v>1073</v>
      </c>
      <c r="C339" s="59" t="s">
        <v>298</v>
      </c>
      <c r="D339" s="4" t="s">
        <v>1074</v>
      </c>
      <c r="E339" s="3"/>
      <c r="F339" s="3"/>
      <c r="G339" s="3" t="s">
        <v>317</v>
      </c>
      <c r="H339" s="4" t="s">
        <v>1031</v>
      </c>
      <c r="I339" s="3"/>
      <c r="J339" s="3" t="s">
        <v>1075</v>
      </c>
      <c r="K339" s="3"/>
      <c r="L339" s="3"/>
      <c r="M339" s="30" t="s">
        <v>1033</v>
      </c>
    </row>
    <row r="340" spans="1:13" ht="45.75">
      <c r="A340" s="3"/>
      <c r="B340" s="4" t="s">
        <v>1076</v>
      </c>
      <c r="C340" s="59" t="s">
        <v>298</v>
      </c>
      <c r="D340" s="4" t="s">
        <v>1077</v>
      </c>
      <c r="E340" s="3"/>
      <c r="F340" s="3"/>
      <c r="G340" s="3" t="s">
        <v>317</v>
      </c>
      <c r="H340" s="4" t="s">
        <v>1031</v>
      </c>
      <c r="I340" s="3"/>
      <c r="J340" s="3" t="s">
        <v>1078</v>
      </c>
      <c r="K340" s="3"/>
      <c r="L340" s="3"/>
      <c r="M340" s="30" t="s">
        <v>1033</v>
      </c>
    </row>
    <row r="341" spans="1:13" ht="45.75">
      <c r="A341" s="3"/>
      <c r="B341" s="4" t="s">
        <v>1079</v>
      </c>
      <c r="C341" s="59" t="s">
        <v>298</v>
      </c>
      <c r="D341" s="4" t="s">
        <v>1080</v>
      </c>
      <c r="E341" s="3"/>
      <c r="F341" s="3"/>
      <c r="G341" s="3" t="s">
        <v>317</v>
      </c>
      <c r="H341" s="4" t="s">
        <v>1031</v>
      </c>
      <c r="I341" s="3"/>
      <c r="J341" s="3" t="s">
        <v>1081</v>
      </c>
      <c r="K341" s="3"/>
      <c r="L341" s="3"/>
      <c r="M341" s="30" t="s">
        <v>1033</v>
      </c>
    </row>
    <row r="342" spans="1:13" ht="45.75">
      <c r="A342" s="3"/>
      <c r="B342" s="4" t="s">
        <v>1082</v>
      </c>
      <c r="C342" s="59" t="s">
        <v>298</v>
      </c>
      <c r="D342" s="4" t="s">
        <v>1083</v>
      </c>
      <c r="E342" s="3"/>
      <c r="F342" s="3"/>
      <c r="G342" s="3" t="s">
        <v>317</v>
      </c>
      <c r="H342" s="4" t="s">
        <v>1031</v>
      </c>
      <c r="I342" s="3"/>
      <c r="J342" s="3" t="s">
        <v>1084</v>
      </c>
      <c r="K342" s="3"/>
      <c r="L342" s="3"/>
      <c r="M342" s="30" t="s">
        <v>1033</v>
      </c>
    </row>
    <row r="343" spans="1:13" ht="45.75">
      <c r="A343" s="3"/>
      <c r="B343" s="4" t="s">
        <v>1085</v>
      </c>
      <c r="C343" s="58" t="s">
        <v>298</v>
      </c>
      <c r="D343" s="4" t="s">
        <v>1086</v>
      </c>
      <c r="E343" s="3"/>
      <c r="F343" s="3"/>
      <c r="G343" s="3" t="s">
        <v>332</v>
      </c>
      <c r="H343" s="4" t="s">
        <v>1087</v>
      </c>
      <c r="I343" s="4" t="s">
        <v>1088</v>
      </c>
      <c r="J343" s="3" t="s">
        <v>334</v>
      </c>
      <c r="K343" s="3"/>
      <c r="L343" s="3"/>
      <c r="M343" s="30" t="s">
        <v>336</v>
      </c>
    </row>
    <row r="344" spans="1:13" ht="45.75">
      <c r="A344" s="3"/>
      <c r="B344" s="4" t="s">
        <v>1089</v>
      </c>
      <c r="C344" s="58" t="s">
        <v>298</v>
      </c>
      <c r="D344" s="4" t="s">
        <v>1090</v>
      </c>
      <c r="E344" s="3"/>
      <c r="F344" s="3"/>
      <c r="G344" s="3" t="s">
        <v>332</v>
      </c>
      <c r="H344" s="4" t="s">
        <v>1087</v>
      </c>
      <c r="I344" s="4" t="s">
        <v>1088</v>
      </c>
      <c r="J344" s="3" t="s">
        <v>334</v>
      </c>
      <c r="K344" s="3"/>
      <c r="L344" s="3"/>
      <c r="M344" s="30" t="s">
        <v>336</v>
      </c>
    </row>
    <row r="345" spans="1:13" ht="45.75">
      <c r="A345" s="3"/>
      <c r="B345" s="4" t="s">
        <v>1091</v>
      </c>
      <c r="C345" s="58" t="s">
        <v>298</v>
      </c>
      <c r="D345" s="4" t="s">
        <v>1092</v>
      </c>
      <c r="E345" s="3"/>
      <c r="F345" s="3"/>
      <c r="G345" s="3" t="s">
        <v>332</v>
      </c>
      <c r="H345" s="4" t="s">
        <v>1087</v>
      </c>
      <c r="I345" s="4" t="s">
        <v>1088</v>
      </c>
      <c r="J345" s="3" t="s">
        <v>334</v>
      </c>
      <c r="K345" s="3"/>
      <c r="L345" s="3"/>
      <c r="M345" s="30" t="s">
        <v>336</v>
      </c>
    </row>
    <row r="346" spans="1:13" ht="45.75">
      <c r="A346" s="3"/>
      <c r="B346" s="4" t="s">
        <v>1093</v>
      </c>
      <c r="C346" s="58" t="s">
        <v>298</v>
      </c>
      <c r="D346" s="4" t="s">
        <v>1094</v>
      </c>
      <c r="E346" s="3"/>
      <c r="F346" s="3"/>
      <c r="G346" s="3" t="s">
        <v>332</v>
      </c>
      <c r="H346" s="4" t="s">
        <v>1087</v>
      </c>
      <c r="I346" s="4" t="s">
        <v>1088</v>
      </c>
      <c r="J346" s="3" t="s">
        <v>334</v>
      </c>
      <c r="K346" s="3"/>
      <c r="L346" s="3"/>
      <c r="M346" s="30" t="s">
        <v>336</v>
      </c>
    </row>
    <row r="347" spans="1:13" ht="45.75">
      <c r="A347" s="3"/>
      <c r="B347" s="4" t="s">
        <v>1095</v>
      </c>
      <c r="C347" s="58" t="s">
        <v>298</v>
      </c>
      <c r="D347" s="4" t="s">
        <v>1096</v>
      </c>
      <c r="E347" s="3"/>
      <c r="F347" s="3"/>
      <c r="G347" s="3" t="s">
        <v>332</v>
      </c>
      <c r="H347" s="4" t="s">
        <v>1087</v>
      </c>
      <c r="I347" s="4" t="s">
        <v>1088</v>
      </c>
      <c r="J347" s="3" t="s">
        <v>334</v>
      </c>
      <c r="K347" s="3"/>
      <c r="L347" s="3"/>
      <c r="M347" s="30" t="s">
        <v>336</v>
      </c>
    </row>
    <row r="348" spans="1:13" ht="45.75">
      <c r="A348" s="3"/>
      <c r="B348" s="4" t="s">
        <v>1097</v>
      </c>
      <c r="C348" s="58" t="s">
        <v>298</v>
      </c>
      <c r="D348" s="4" t="s">
        <v>1098</v>
      </c>
      <c r="E348" s="3"/>
      <c r="F348" s="3"/>
      <c r="G348" s="3" t="s">
        <v>332</v>
      </c>
      <c r="H348" s="4" t="s">
        <v>1087</v>
      </c>
      <c r="I348" s="4" t="s">
        <v>1088</v>
      </c>
      <c r="J348" s="3" t="s">
        <v>334</v>
      </c>
      <c r="K348" s="3"/>
      <c r="L348" s="3"/>
      <c r="M348" s="30" t="s">
        <v>336</v>
      </c>
    </row>
    <row r="349" spans="1:13" ht="45.75">
      <c r="A349" s="3"/>
      <c r="B349" s="4" t="s">
        <v>1099</v>
      </c>
      <c r="C349" s="58" t="s">
        <v>298</v>
      </c>
      <c r="D349" s="4" t="s">
        <v>1100</v>
      </c>
      <c r="E349" s="3"/>
      <c r="F349" s="3"/>
      <c r="G349" s="3" t="s">
        <v>332</v>
      </c>
      <c r="H349" s="4" t="s">
        <v>1087</v>
      </c>
      <c r="I349" s="4" t="s">
        <v>1088</v>
      </c>
      <c r="J349" s="3" t="s">
        <v>334</v>
      </c>
      <c r="K349" s="3"/>
      <c r="L349" s="3"/>
      <c r="M349" s="30" t="s">
        <v>336</v>
      </c>
    </row>
    <row r="350" spans="1:13" ht="45.75">
      <c r="A350" s="3"/>
      <c r="B350" s="4" t="s">
        <v>1101</v>
      </c>
      <c r="C350" s="58" t="s">
        <v>298</v>
      </c>
      <c r="D350" s="4" t="s">
        <v>1102</v>
      </c>
      <c r="E350" s="3"/>
      <c r="F350" s="3"/>
      <c r="G350" s="3" t="s">
        <v>332</v>
      </c>
      <c r="H350" s="4" t="s">
        <v>1087</v>
      </c>
      <c r="I350" s="4" t="s">
        <v>1088</v>
      </c>
      <c r="J350" s="3" t="s">
        <v>334</v>
      </c>
      <c r="K350" s="3"/>
      <c r="L350" s="3"/>
      <c r="M350" s="30" t="s">
        <v>336</v>
      </c>
    </row>
    <row r="351" spans="1:13" ht="45.75">
      <c r="A351" s="3"/>
      <c r="B351" s="4" t="s">
        <v>1103</v>
      </c>
      <c r="C351" s="58" t="s">
        <v>298</v>
      </c>
      <c r="D351" s="4" t="s">
        <v>1104</v>
      </c>
      <c r="E351" s="3"/>
      <c r="F351" s="3"/>
      <c r="G351" s="3" t="s">
        <v>332</v>
      </c>
      <c r="H351" s="4" t="s">
        <v>1087</v>
      </c>
      <c r="I351" s="4" t="s">
        <v>1088</v>
      </c>
      <c r="J351" s="3" t="s">
        <v>334</v>
      </c>
      <c r="K351" s="3"/>
      <c r="L351" s="3"/>
      <c r="M351" s="30" t="s">
        <v>336</v>
      </c>
    </row>
    <row r="352" spans="1:13" ht="45.75">
      <c r="A352" s="3"/>
      <c r="B352" s="4" t="s">
        <v>1105</v>
      </c>
      <c r="C352" s="58" t="s">
        <v>298</v>
      </c>
      <c r="D352" s="4" t="s">
        <v>1106</v>
      </c>
      <c r="E352" s="3"/>
      <c r="F352" s="3"/>
      <c r="G352" s="3" t="s">
        <v>332</v>
      </c>
      <c r="H352" s="4" t="s">
        <v>1087</v>
      </c>
      <c r="I352" s="4" t="s">
        <v>1088</v>
      </c>
      <c r="J352" s="3" t="s">
        <v>334</v>
      </c>
      <c r="K352" s="3"/>
      <c r="L352" s="3"/>
      <c r="M352" s="30" t="s">
        <v>336</v>
      </c>
    </row>
    <row r="353" spans="1:13" ht="45.75">
      <c r="A353" s="3"/>
      <c r="B353" s="4" t="s">
        <v>1107</v>
      </c>
      <c r="C353" s="58" t="s">
        <v>298</v>
      </c>
      <c r="D353" s="4" t="s">
        <v>1108</v>
      </c>
      <c r="E353" s="3"/>
      <c r="F353" s="3"/>
      <c r="G353" s="3" t="s">
        <v>332</v>
      </c>
      <c r="H353" s="4" t="s">
        <v>1087</v>
      </c>
      <c r="I353" s="4" t="s">
        <v>1088</v>
      </c>
      <c r="J353" s="3" t="s">
        <v>334</v>
      </c>
      <c r="K353" s="3"/>
      <c r="L353" s="3"/>
      <c r="M353" s="30" t="s">
        <v>336</v>
      </c>
    </row>
    <row r="354" spans="1:13" ht="45.75">
      <c r="A354" s="3"/>
      <c r="B354" s="4" t="s">
        <v>1109</v>
      </c>
      <c r="C354" s="58" t="s">
        <v>298</v>
      </c>
      <c r="D354" s="4" t="s">
        <v>1110</v>
      </c>
      <c r="E354" s="3"/>
      <c r="F354" s="3"/>
      <c r="G354" s="3" t="s">
        <v>332</v>
      </c>
      <c r="H354" s="4" t="s">
        <v>1087</v>
      </c>
      <c r="I354" s="4" t="s">
        <v>1088</v>
      </c>
      <c r="J354" s="3" t="s">
        <v>334</v>
      </c>
      <c r="K354" s="3"/>
      <c r="L354" s="3"/>
      <c r="M354" s="30" t="s">
        <v>336</v>
      </c>
    </row>
    <row r="355" spans="1:13" ht="45.75">
      <c r="A355" s="3"/>
      <c r="B355" s="4" t="s">
        <v>1111</v>
      </c>
      <c r="C355" s="58" t="s">
        <v>298</v>
      </c>
      <c r="D355" s="4" t="s">
        <v>1112</v>
      </c>
      <c r="E355" s="3"/>
      <c r="F355" s="3"/>
      <c r="G355" s="3" t="s">
        <v>332</v>
      </c>
      <c r="H355" s="4" t="s">
        <v>1087</v>
      </c>
      <c r="I355" s="4" t="s">
        <v>1088</v>
      </c>
      <c r="J355" s="3" t="s">
        <v>334</v>
      </c>
      <c r="K355" s="3"/>
      <c r="L355" s="3"/>
      <c r="M355" s="30" t="s">
        <v>336</v>
      </c>
    </row>
    <row r="356" spans="1:13" ht="45.75">
      <c r="A356" s="3"/>
      <c r="B356" s="4" t="s">
        <v>1113</v>
      </c>
      <c r="C356" s="58" t="s">
        <v>298</v>
      </c>
      <c r="D356" s="4" t="s">
        <v>1114</v>
      </c>
      <c r="E356" s="3"/>
      <c r="F356" s="3"/>
      <c r="G356" s="3" t="s">
        <v>332</v>
      </c>
      <c r="H356" s="4" t="s">
        <v>1087</v>
      </c>
      <c r="I356" s="4" t="s">
        <v>1088</v>
      </c>
      <c r="J356" s="3" t="s">
        <v>334</v>
      </c>
      <c r="K356" s="3"/>
      <c r="L356" s="3"/>
      <c r="M356" s="30" t="s">
        <v>336</v>
      </c>
    </row>
    <row r="357" spans="1:13" ht="45.75">
      <c r="A357" s="3"/>
      <c r="B357" s="4" t="s">
        <v>1115</v>
      </c>
      <c r="C357" s="58" t="s">
        <v>298</v>
      </c>
      <c r="D357" s="4" t="s">
        <v>1116</v>
      </c>
      <c r="E357" s="3"/>
      <c r="F357" s="3"/>
      <c r="G357" s="3" t="s">
        <v>332</v>
      </c>
      <c r="H357" s="4" t="s">
        <v>1087</v>
      </c>
      <c r="I357" s="4" t="s">
        <v>1088</v>
      </c>
      <c r="J357" s="3" t="s">
        <v>334</v>
      </c>
      <c r="K357" s="3"/>
      <c r="L357" s="3"/>
      <c r="M357" s="30" t="s">
        <v>336</v>
      </c>
    </row>
    <row r="358" spans="1:13" ht="45.75">
      <c r="A358" s="3"/>
      <c r="B358" s="4" t="s">
        <v>1117</v>
      </c>
      <c r="C358" s="58" t="s">
        <v>298</v>
      </c>
      <c r="D358" s="4" t="s">
        <v>1118</v>
      </c>
      <c r="E358" s="3"/>
      <c r="F358" s="3"/>
      <c r="G358" s="3" t="s">
        <v>332</v>
      </c>
      <c r="H358" s="4" t="s">
        <v>1087</v>
      </c>
      <c r="I358" s="4" t="s">
        <v>1088</v>
      </c>
      <c r="J358" s="3" t="s">
        <v>334</v>
      </c>
      <c r="K358" s="3"/>
      <c r="L358" s="3"/>
      <c r="M358" s="30" t="s">
        <v>336</v>
      </c>
    </row>
    <row r="359" spans="1:13" ht="45.75">
      <c r="A359" s="3"/>
      <c r="B359" s="4" t="s">
        <v>1119</v>
      </c>
      <c r="C359" s="58" t="s">
        <v>298</v>
      </c>
      <c r="D359" s="4" t="s">
        <v>1120</v>
      </c>
      <c r="E359" s="3"/>
      <c r="F359" s="3"/>
      <c r="G359" s="3" t="s">
        <v>332</v>
      </c>
      <c r="H359" s="4" t="s">
        <v>1087</v>
      </c>
      <c r="I359" s="4" t="s">
        <v>1088</v>
      </c>
      <c r="J359" s="3" t="s">
        <v>334</v>
      </c>
      <c r="K359" s="3"/>
      <c r="L359" s="3"/>
      <c r="M359" s="30" t="s">
        <v>336</v>
      </c>
    </row>
    <row r="360" spans="1:13" ht="30">
      <c r="A360" s="3"/>
      <c r="B360" s="4" t="s">
        <v>1121</v>
      </c>
      <c r="C360" s="59" t="s">
        <v>298</v>
      </c>
      <c r="D360" s="4" t="s">
        <v>1122</v>
      </c>
      <c r="E360" s="3"/>
      <c r="F360" s="3"/>
      <c r="G360" s="3" t="s">
        <v>236</v>
      </c>
      <c r="H360" s="3" t="s">
        <v>237</v>
      </c>
      <c r="I360" s="3" t="s">
        <v>237</v>
      </c>
      <c r="J360" s="3" t="s">
        <v>238</v>
      </c>
      <c r="K360" s="3"/>
      <c r="L360" s="3"/>
      <c r="M360" s="30" t="s">
        <v>239</v>
      </c>
    </row>
    <row r="361" spans="1:13" ht="30">
      <c r="A361" s="3"/>
      <c r="B361" s="4" t="s">
        <v>1123</v>
      </c>
      <c r="C361" s="59" t="s">
        <v>298</v>
      </c>
      <c r="D361" s="4" t="s">
        <v>1124</v>
      </c>
      <c r="E361" s="3"/>
      <c r="F361" s="3"/>
      <c r="G361" s="3" t="s">
        <v>236</v>
      </c>
      <c r="H361" s="3" t="s">
        <v>237</v>
      </c>
      <c r="I361" s="3" t="s">
        <v>237</v>
      </c>
      <c r="J361" s="3" t="s">
        <v>238</v>
      </c>
      <c r="K361" s="3"/>
      <c r="L361" s="3"/>
      <c r="M361" s="30" t="s">
        <v>239</v>
      </c>
    </row>
    <row r="362" spans="1:13" ht="30">
      <c r="A362" s="3"/>
      <c r="B362" s="4" t="s">
        <v>1125</v>
      </c>
      <c r="C362" s="59" t="s">
        <v>298</v>
      </c>
      <c r="D362" s="4" t="s">
        <v>1126</v>
      </c>
      <c r="E362" s="3"/>
      <c r="F362" s="3"/>
      <c r="G362" s="3" t="s">
        <v>236</v>
      </c>
      <c r="H362" s="3" t="s">
        <v>237</v>
      </c>
      <c r="I362" s="3" t="s">
        <v>237</v>
      </c>
      <c r="J362" s="3" t="s">
        <v>238</v>
      </c>
      <c r="K362" s="3"/>
      <c r="L362" s="3"/>
      <c r="M362" s="30" t="s">
        <v>239</v>
      </c>
    </row>
    <row r="363" spans="1:13" ht="30">
      <c r="A363" s="3"/>
      <c r="B363" s="4" t="s">
        <v>1127</v>
      </c>
      <c r="C363" s="59" t="s">
        <v>298</v>
      </c>
      <c r="D363" s="4" t="s">
        <v>1128</v>
      </c>
      <c r="E363" s="3"/>
      <c r="F363" s="3"/>
      <c r="G363" s="3" t="s">
        <v>236</v>
      </c>
      <c r="H363" s="3" t="s">
        <v>237</v>
      </c>
      <c r="I363" s="3" t="s">
        <v>237</v>
      </c>
      <c r="J363" s="3" t="s">
        <v>238</v>
      </c>
      <c r="K363" s="3"/>
      <c r="L363" s="3"/>
      <c r="M363" s="30" t="s">
        <v>239</v>
      </c>
    </row>
    <row r="364" spans="1:13" ht="30">
      <c r="A364" s="3"/>
      <c r="B364" s="4" t="s">
        <v>1129</v>
      </c>
      <c r="C364" s="59" t="s">
        <v>298</v>
      </c>
      <c r="D364" s="4" t="s">
        <v>1130</v>
      </c>
      <c r="E364" s="3"/>
      <c r="F364" s="3"/>
      <c r="G364" s="3" t="s">
        <v>236</v>
      </c>
      <c r="H364" s="3" t="s">
        <v>237</v>
      </c>
      <c r="I364" s="3" t="s">
        <v>237</v>
      </c>
      <c r="J364" s="3" t="s">
        <v>238</v>
      </c>
      <c r="K364" s="3"/>
      <c r="L364" s="3"/>
      <c r="M364" s="30" t="s">
        <v>239</v>
      </c>
    </row>
    <row r="365" spans="1:13" ht="30">
      <c r="A365" s="3"/>
      <c r="B365" s="4" t="s">
        <v>1131</v>
      </c>
      <c r="C365" s="59" t="s">
        <v>298</v>
      </c>
      <c r="D365" s="4" t="s">
        <v>1132</v>
      </c>
      <c r="E365" s="3"/>
      <c r="F365" s="3"/>
      <c r="G365" s="3" t="s">
        <v>236</v>
      </c>
      <c r="H365" s="3" t="s">
        <v>237</v>
      </c>
      <c r="I365" s="3" t="s">
        <v>237</v>
      </c>
      <c r="J365" s="3" t="s">
        <v>238</v>
      </c>
      <c r="K365" s="3"/>
      <c r="L365" s="3"/>
      <c r="M365" s="30" t="s">
        <v>239</v>
      </c>
    </row>
    <row r="366" spans="1:13" ht="30">
      <c r="A366" s="3"/>
      <c r="B366" s="4" t="s">
        <v>1133</v>
      </c>
      <c r="C366" s="59" t="s">
        <v>298</v>
      </c>
      <c r="D366" s="4" t="s">
        <v>1134</v>
      </c>
      <c r="E366" s="3"/>
      <c r="F366" s="3"/>
      <c r="G366" s="3" t="s">
        <v>236</v>
      </c>
      <c r="H366" s="3" t="s">
        <v>237</v>
      </c>
      <c r="I366" s="3" t="s">
        <v>237</v>
      </c>
      <c r="J366" s="3" t="s">
        <v>238</v>
      </c>
      <c r="K366" s="3"/>
      <c r="L366" s="3"/>
      <c r="M366" s="30" t="s">
        <v>239</v>
      </c>
    </row>
    <row r="367" spans="1:13" ht="30">
      <c r="A367" s="3"/>
      <c r="B367" s="4" t="s">
        <v>1135</v>
      </c>
      <c r="C367" s="59" t="s">
        <v>298</v>
      </c>
      <c r="D367" s="4" t="s">
        <v>1136</v>
      </c>
      <c r="E367" s="3"/>
      <c r="F367" s="3"/>
      <c r="G367" s="3" t="s">
        <v>236</v>
      </c>
      <c r="H367" s="3" t="s">
        <v>237</v>
      </c>
      <c r="I367" s="3" t="s">
        <v>237</v>
      </c>
      <c r="J367" s="3" t="s">
        <v>238</v>
      </c>
      <c r="K367" s="3"/>
      <c r="L367" s="3"/>
      <c r="M367" s="30" t="s">
        <v>239</v>
      </c>
    </row>
    <row r="368" spans="1:13" ht="30">
      <c r="A368" s="3"/>
      <c r="B368" s="4" t="s">
        <v>1137</v>
      </c>
      <c r="C368" s="59" t="s">
        <v>298</v>
      </c>
      <c r="D368" s="4" t="s">
        <v>1138</v>
      </c>
      <c r="E368" s="3"/>
      <c r="F368" s="3"/>
      <c r="G368" s="3" t="s">
        <v>236</v>
      </c>
      <c r="H368" s="3" t="s">
        <v>237</v>
      </c>
      <c r="I368" s="3" t="s">
        <v>237</v>
      </c>
      <c r="J368" s="3" t="s">
        <v>238</v>
      </c>
      <c r="K368" s="3"/>
      <c r="L368" s="3"/>
      <c r="M368" s="30" t="s">
        <v>239</v>
      </c>
    </row>
    <row r="369" spans="1:13" ht="30">
      <c r="A369" s="3"/>
      <c r="B369" s="4" t="s">
        <v>1139</v>
      </c>
      <c r="C369" s="59" t="s">
        <v>298</v>
      </c>
      <c r="D369" s="4" t="s">
        <v>1140</v>
      </c>
      <c r="E369" s="3"/>
      <c r="F369" s="3"/>
      <c r="G369" s="3" t="s">
        <v>236</v>
      </c>
      <c r="H369" s="3" t="s">
        <v>237</v>
      </c>
      <c r="I369" s="3" t="s">
        <v>237</v>
      </c>
      <c r="J369" s="3" t="s">
        <v>238</v>
      </c>
      <c r="K369" s="3"/>
      <c r="L369" s="3"/>
      <c r="M369" s="30" t="s">
        <v>239</v>
      </c>
    </row>
    <row r="370" spans="1:13" ht="30">
      <c r="A370" s="3"/>
      <c r="B370" s="4" t="s">
        <v>1141</v>
      </c>
      <c r="C370" s="59" t="s">
        <v>298</v>
      </c>
      <c r="D370" s="4" t="s">
        <v>1142</v>
      </c>
      <c r="E370" s="3"/>
      <c r="F370" s="3"/>
      <c r="G370" s="3" t="s">
        <v>236</v>
      </c>
      <c r="H370" s="3" t="s">
        <v>237</v>
      </c>
      <c r="I370" s="3" t="s">
        <v>237</v>
      </c>
      <c r="J370" s="3" t="s">
        <v>238</v>
      </c>
      <c r="K370" s="3"/>
      <c r="L370" s="3"/>
      <c r="M370" s="30" t="s">
        <v>239</v>
      </c>
    </row>
    <row r="371" spans="1:13" ht="30">
      <c r="A371" s="3"/>
      <c r="B371" s="4" t="s">
        <v>1143</v>
      </c>
      <c r="C371" s="59" t="s">
        <v>298</v>
      </c>
      <c r="D371" s="4" t="s">
        <v>1144</v>
      </c>
      <c r="E371" s="3"/>
      <c r="F371" s="3"/>
      <c r="G371" s="3" t="s">
        <v>236</v>
      </c>
      <c r="H371" s="3" t="s">
        <v>237</v>
      </c>
      <c r="I371" s="3" t="s">
        <v>237</v>
      </c>
      <c r="J371" s="3" t="s">
        <v>238</v>
      </c>
      <c r="K371" s="3"/>
      <c r="L371" s="3"/>
      <c r="M371" s="30" t="s">
        <v>239</v>
      </c>
    </row>
    <row r="372" spans="1:13" ht="30">
      <c r="A372" s="3"/>
      <c r="B372" s="4" t="s">
        <v>1145</v>
      </c>
      <c r="C372" s="59" t="s">
        <v>298</v>
      </c>
      <c r="D372" s="4" t="s">
        <v>1146</v>
      </c>
      <c r="E372" s="3"/>
      <c r="F372" s="3"/>
      <c r="G372" s="3" t="s">
        <v>236</v>
      </c>
      <c r="H372" s="3" t="s">
        <v>237</v>
      </c>
      <c r="I372" s="3" t="s">
        <v>237</v>
      </c>
      <c r="J372" s="3" t="s">
        <v>238</v>
      </c>
      <c r="K372" s="3"/>
      <c r="L372" s="3"/>
      <c r="M372" s="30" t="s">
        <v>239</v>
      </c>
    </row>
    <row r="373" spans="1:13" ht="30">
      <c r="A373" s="3"/>
      <c r="B373" s="4" t="s">
        <v>1147</v>
      </c>
      <c r="C373" s="59" t="s">
        <v>298</v>
      </c>
      <c r="D373" s="4" t="s">
        <v>1148</v>
      </c>
      <c r="E373" s="3"/>
      <c r="F373" s="3"/>
      <c r="G373" s="3" t="s">
        <v>236</v>
      </c>
      <c r="H373" s="3" t="s">
        <v>237</v>
      </c>
      <c r="I373" s="3" t="s">
        <v>237</v>
      </c>
      <c r="J373" s="3" t="s">
        <v>238</v>
      </c>
      <c r="K373" s="3"/>
      <c r="L373" s="3"/>
      <c r="M373" s="30" t="s">
        <v>239</v>
      </c>
    </row>
    <row r="374" spans="1:13" ht="30">
      <c r="A374" s="3"/>
      <c r="B374" s="4" t="s">
        <v>1149</v>
      </c>
      <c r="C374" s="59" t="s">
        <v>298</v>
      </c>
      <c r="D374" s="4" t="s">
        <v>1150</v>
      </c>
      <c r="E374" s="3"/>
      <c r="F374" s="3"/>
      <c r="G374" s="3" t="s">
        <v>236</v>
      </c>
      <c r="H374" s="3" t="s">
        <v>237</v>
      </c>
      <c r="I374" s="3" t="s">
        <v>237</v>
      </c>
      <c r="J374" s="3" t="s">
        <v>238</v>
      </c>
      <c r="K374" s="3"/>
      <c r="L374" s="3"/>
      <c r="M374" s="30" t="s">
        <v>239</v>
      </c>
    </row>
    <row r="375" spans="1:13" ht="30">
      <c r="A375" s="3"/>
      <c r="B375" s="4" t="s">
        <v>1151</v>
      </c>
      <c r="C375" s="59" t="s">
        <v>298</v>
      </c>
      <c r="D375" s="4" t="s">
        <v>1152</v>
      </c>
      <c r="E375" s="3"/>
      <c r="F375" s="3"/>
      <c r="G375" s="3" t="s">
        <v>236</v>
      </c>
      <c r="H375" s="3" t="s">
        <v>237</v>
      </c>
      <c r="I375" s="3" t="s">
        <v>237</v>
      </c>
      <c r="J375" s="3" t="s">
        <v>238</v>
      </c>
      <c r="K375" s="3"/>
      <c r="L375" s="3"/>
      <c r="M375" s="30" t="s">
        <v>239</v>
      </c>
    </row>
    <row r="376" spans="1:13" ht="30">
      <c r="A376" s="3"/>
      <c r="B376" s="4" t="s">
        <v>1153</v>
      </c>
      <c r="C376" s="59" t="s">
        <v>298</v>
      </c>
      <c r="D376" s="4" t="s">
        <v>1154</v>
      </c>
      <c r="E376" s="3"/>
      <c r="F376" s="3"/>
      <c r="G376" s="3" t="s">
        <v>236</v>
      </c>
      <c r="H376" s="3" t="s">
        <v>237</v>
      </c>
      <c r="I376" s="3" t="s">
        <v>237</v>
      </c>
      <c r="J376" s="3" t="s">
        <v>238</v>
      </c>
      <c r="K376" s="3"/>
      <c r="L376" s="3"/>
      <c r="M376" s="30" t="s">
        <v>239</v>
      </c>
    </row>
    <row r="377" spans="1:13" ht="30">
      <c r="A377" s="3"/>
      <c r="B377" s="4" t="s">
        <v>1155</v>
      </c>
      <c r="C377" s="60" t="s">
        <v>298</v>
      </c>
      <c r="D377" s="4" t="s">
        <v>1156</v>
      </c>
      <c r="E377" s="3"/>
      <c r="F377" s="3"/>
      <c r="G377" s="3"/>
      <c r="H377" s="3"/>
      <c r="I377" s="3"/>
      <c r="J377" s="3"/>
      <c r="K377" s="3"/>
      <c r="L377" s="3"/>
      <c r="M377" s="30"/>
    </row>
    <row r="378" spans="1:13">
      <c r="A378" s="3"/>
      <c r="B378" s="4" t="s">
        <v>298</v>
      </c>
      <c r="C378" s="60" t="s">
        <v>298</v>
      </c>
      <c r="D378" s="4" t="s">
        <v>1157</v>
      </c>
      <c r="E378" s="3"/>
      <c r="F378" s="3"/>
      <c r="G378" s="3"/>
      <c r="H378" s="3"/>
      <c r="I378" s="3"/>
      <c r="J378" s="3"/>
      <c r="K378" s="3"/>
      <c r="L378" s="3"/>
      <c r="M378" s="30"/>
    </row>
    <row r="379" spans="1:13" ht="45.75">
      <c r="A379" s="3"/>
      <c r="B379" s="4" t="s">
        <v>1158</v>
      </c>
      <c r="C379" s="59" t="s">
        <v>298</v>
      </c>
      <c r="D379" s="4" t="s">
        <v>1159</v>
      </c>
      <c r="E379" s="3"/>
      <c r="F379" s="3"/>
      <c r="G379" s="3" t="s">
        <v>341</v>
      </c>
      <c r="H379" s="4" t="s">
        <v>1160</v>
      </c>
      <c r="I379" s="4" t="s">
        <v>1161</v>
      </c>
      <c r="J379" s="3" t="s">
        <v>334</v>
      </c>
      <c r="K379" s="3"/>
      <c r="L379" s="3"/>
      <c r="M379" s="3" t="s">
        <v>1162</v>
      </c>
    </row>
    <row r="380" spans="1:13" ht="45.75">
      <c r="A380" s="3"/>
      <c r="B380" s="4" t="s">
        <v>1163</v>
      </c>
      <c r="C380" s="59" t="s">
        <v>298</v>
      </c>
      <c r="D380" s="4" t="s">
        <v>1164</v>
      </c>
      <c r="E380" s="3"/>
      <c r="F380" s="3"/>
      <c r="G380" s="3" t="s">
        <v>341</v>
      </c>
      <c r="H380" s="4" t="s">
        <v>1160</v>
      </c>
      <c r="I380" s="4" t="s">
        <v>1161</v>
      </c>
      <c r="J380" s="3" t="s">
        <v>334</v>
      </c>
      <c r="K380" s="3"/>
      <c r="L380" s="3"/>
      <c r="M380" s="3" t="s">
        <v>1162</v>
      </c>
    </row>
    <row r="381" spans="1:13" ht="45.75">
      <c r="A381" s="3"/>
      <c r="B381" s="4" t="s">
        <v>1165</v>
      </c>
      <c r="C381" s="59" t="s">
        <v>298</v>
      </c>
      <c r="D381" s="4" t="s">
        <v>1166</v>
      </c>
      <c r="E381" s="3"/>
      <c r="F381" s="3"/>
      <c r="G381" s="3" t="s">
        <v>341</v>
      </c>
      <c r="H381" s="4" t="s">
        <v>1160</v>
      </c>
      <c r="I381" s="4" t="s">
        <v>1161</v>
      </c>
      <c r="J381" s="3" t="s">
        <v>334</v>
      </c>
      <c r="K381" s="3"/>
      <c r="L381" s="3"/>
      <c r="M381" s="3" t="s">
        <v>1162</v>
      </c>
    </row>
    <row r="382" spans="1:13" ht="45.75">
      <c r="A382" s="3"/>
      <c r="B382" s="4" t="s">
        <v>1167</v>
      </c>
      <c r="C382" s="59" t="s">
        <v>298</v>
      </c>
      <c r="D382" s="4" t="s">
        <v>1168</v>
      </c>
      <c r="E382" s="3"/>
      <c r="F382" s="3"/>
      <c r="G382" s="3" t="s">
        <v>341</v>
      </c>
      <c r="H382" s="4" t="s">
        <v>1160</v>
      </c>
      <c r="I382" s="4" t="s">
        <v>1161</v>
      </c>
      <c r="J382" s="3" t="s">
        <v>334</v>
      </c>
      <c r="K382" s="3"/>
      <c r="L382" s="3"/>
      <c r="M382" s="3" t="s">
        <v>1162</v>
      </c>
    </row>
    <row r="383" spans="1:13" ht="45.75">
      <c r="A383" s="3"/>
      <c r="B383" s="4" t="s">
        <v>1169</v>
      </c>
      <c r="C383" s="59" t="s">
        <v>298</v>
      </c>
      <c r="D383" s="4" t="s">
        <v>1170</v>
      </c>
      <c r="E383" s="3"/>
      <c r="F383" s="3"/>
      <c r="G383" s="3" t="s">
        <v>341</v>
      </c>
      <c r="H383" s="4" t="s">
        <v>1160</v>
      </c>
      <c r="I383" s="4" t="s">
        <v>1161</v>
      </c>
      <c r="J383" s="3" t="s">
        <v>334</v>
      </c>
      <c r="K383" s="3"/>
      <c r="L383" s="3"/>
      <c r="M383" s="3" t="s">
        <v>1162</v>
      </c>
    </row>
    <row r="384" spans="1:13" ht="45.75">
      <c r="A384" s="3"/>
      <c r="B384" s="4" t="s">
        <v>1171</v>
      </c>
      <c r="C384" s="59" t="s">
        <v>298</v>
      </c>
      <c r="D384" s="4" t="s">
        <v>1172</v>
      </c>
      <c r="E384" s="3"/>
      <c r="F384" s="3"/>
      <c r="G384" s="3" t="s">
        <v>341</v>
      </c>
      <c r="H384" s="4" t="s">
        <v>1160</v>
      </c>
      <c r="I384" s="4" t="s">
        <v>1161</v>
      </c>
      <c r="J384" s="3" t="s">
        <v>334</v>
      </c>
      <c r="K384" s="3"/>
      <c r="L384" s="3"/>
      <c r="M384" s="3" t="s">
        <v>1162</v>
      </c>
    </row>
    <row r="385" spans="1:13" ht="45.75">
      <c r="A385" s="3"/>
      <c r="B385" s="4" t="s">
        <v>1173</v>
      </c>
      <c r="C385" s="59" t="s">
        <v>298</v>
      </c>
      <c r="D385" s="4" t="s">
        <v>1174</v>
      </c>
      <c r="E385" s="3"/>
      <c r="F385" s="3"/>
      <c r="G385" s="3" t="s">
        <v>341</v>
      </c>
      <c r="H385" s="4" t="s">
        <v>1160</v>
      </c>
      <c r="I385" s="4" t="s">
        <v>1161</v>
      </c>
      <c r="J385" s="3" t="s">
        <v>334</v>
      </c>
      <c r="K385" s="3"/>
      <c r="L385" s="3"/>
      <c r="M385" s="3" t="s">
        <v>1162</v>
      </c>
    </row>
    <row r="386" spans="1:13" ht="45.75">
      <c r="A386" s="3"/>
      <c r="B386" s="4" t="s">
        <v>1175</v>
      </c>
      <c r="C386" s="59" t="s">
        <v>298</v>
      </c>
      <c r="D386" s="4" t="s">
        <v>1176</v>
      </c>
      <c r="E386" s="3"/>
      <c r="F386" s="3"/>
      <c r="G386" s="3" t="s">
        <v>341</v>
      </c>
      <c r="H386" s="4" t="s">
        <v>1160</v>
      </c>
      <c r="I386" s="4" t="s">
        <v>1161</v>
      </c>
      <c r="J386" s="3" t="s">
        <v>334</v>
      </c>
      <c r="K386" s="3"/>
      <c r="L386" s="3"/>
      <c r="M386" s="3" t="s">
        <v>1162</v>
      </c>
    </row>
    <row r="387" spans="1:13" ht="45.75">
      <c r="A387" s="3"/>
      <c r="B387" s="4" t="s">
        <v>1177</v>
      </c>
      <c r="C387" s="59" t="s">
        <v>298</v>
      </c>
      <c r="D387" s="4" t="s">
        <v>1178</v>
      </c>
      <c r="E387" s="3"/>
      <c r="F387" s="3"/>
      <c r="G387" s="3" t="s">
        <v>341</v>
      </c>
      <c r="H387" s="4" t="s">
        <v>1160</v>
      </c>
      <c r="I387" s="4" t="s">
        <v>1161</v>
      </c>
      <c r="J387" s="3" t="s">
        <v>334</v>
      </c>
      <c r="K387" s="3"/>
      <c r="L387" s="3"/>
      <c r="M387" s="3" t="s">
        <v>1162</v>
      </c>
    </row>
    <row r="388" spans="1:13" ht="45.75">
      <c r="A388" s="3"/>
      <c r="B388" s="4" t="s">
        <v>1179</v>
      </c>
      <c r="C388" s="59" t="s">
        <v>298</v>
      </c>
      <c r="D388" s="4" t="s">
        <v>1180</v>
      </c>
      <c r="E388" s="3"/>
      <c r="F388" s="3"/>
      <c r="G388" s="3" t="s">
        <v>341</v>
      </c>
      <c r="H388" s="4" t="s">
        <v>1160</v>
      </c>
      <c r="I388" s="4" t="s">
        <v>1161</v>
      </c>
      <c r="J388" s="3" t="s">
        <v>334</v>
      </c>
      <c r="K388" s="3"/>
      <c r="L388" s="3"/>
      <c r="M388" s="3" t="s">
        <v>1162</v>
      </c>
    </row>
    <row r="389" spans="1:13" ht="45.75">
      <c r="A389" s="3"/>
      <c r="B389" s="4" t="s">
        <v>1181</v>
      </c>
      <c r="C389" s="59" t="s">
        <v>298</v>
      </c>
      <c r="D389" s="4" t="s">
        <v>1182</v>
      </c>
      <c r="E389" s="3"/>
      <c r="F389" s="3"/>
      <c r="G389" s="3" t="s">
        <v>341</v>
      </c>
      <c r="H389" s="4" t="s">
        <v>1160</v>
      </c>
      <c r="I389" s="4" t="s">
        <v>1161</v>
      </c>
      <c r="J389" s="3" t="s">
        <v>334</v>
      </c>
      <c r="K389" s="3"/>
      <c r="L389" s="3"/>
      <c r="M389" s="3" t="s">
        <v>1162</v>
      </c>
    </row>
    <row r="390" spans="1:13" ht="45.75">
      <c r="A390" s="3"/>
      <c r="B390" s="4" t="s">
        <v>1183</v>
      </c>
      <c r="C390" s="59" t="s">
        <v>298</v>
      </c>
      <c r="D390" s="4" t="s">
        <v>1184</v>
      </c>
      <c r="E390" s="3"/>
      <c r="F390" s="3"/>
      <c r="G390" s="3" t="s">
        <v>341</v>
      </c>
      <c r="H390" s="4" t="s">
        <v>1160</v>
      </c>
      <c r="I390" s="4" t="s">
        <v>1161</v>
      </c>
      <c r="J390" s="3" t="s">
        <v>334</v>
      </c>
      <c r="K390" s="3"/>
      <c r="L390" s="3"/>
      <c r="M390" s="3" t="s">
        <v>1162</v>
      </c>
    </row>
    <row r="391" spans="1:13" ht="45.75">
      <c r="A391" s="3"/>
      <c r="B391" s="4" t="s">
        <v>1185</v>
      </c>
      <c r="C391" s="59" t="s">
        <v>298</v>
      </c>
      <c r="D391" s="4" t="s">
        <v>1186</v>
      </c>
      <c r="E391" s="3"/>
      <c r="F391" s="3"/>
      <c r="G391" s="3" t="s">
        <v>341</v>
      </c>
      <c r="H391" s="4" t="s">
        <v>1160</v>
      </c>
      <c r="I391" s="4" t="s">
        <v>1161</v>
      </c>
      <c r="J391" s="3" t="s">
        <v>334</v>
      </c>
      <c r="K391" s="3"/>
      <c r="L391" s="3"/>
      <c r="M391" s="3" t="s">
        <v>1162</v>
      </c>
    </row>
    <row r="392" spans="1:13" ht="45.75">
      <c r="A392" s="3"/>
      <c r="B392" s="4" t="s">
        <v>1187</v>
      </c>
      <c r="C392" s="59" t="s">
        <v>298</v>
      </c>
      <c r="D392" s="4" t="s">
        <v>1188</v>
      </c>
      <c r="E392" s="3"/>
      <c r="F392" s="3"/>
      <c r="G392" s="3" t="s">
        <v>341</v>
      </c>
      <c r="H392" s="4" t="s">
        <v>1160</v>
      </c>
      <c r="I392" s="4" t="s">
        <v>1161</v>
      </c>
      <c r="J392" s="3" t="s">
        <v>334</v>
      </c>
      <c r="K392" s="3"/>
      <c r="L392" s="3"/>
      <c r="M392" s="3" t="s">
        <v>1162</v>
      </c>
    </row>
    <row r="393" spans="1:13" ht="45.75">
      <c r="A393" s="3"/>
      <c r="B393" s="4" t="s">
        <v>1189</v>
      </c>
      <c r="C393" s="59" t="s">
        <v>298</v>
      </c>
      <c r="D393" s="4" t="s">
        <v>1190</v>
      </c>
      <c r="E393" s="3"/>
      <c r="F393" s="3"/>
      <c r="G393" s="3" t="s">
        <v>341</v>
      </c>
      <c r="H393" s="4" t="s">
        <v>1160</v>
      </c>
      <c r="I393" s="4" t="s">
        <v>1161</v>
      </c>
      <c r="J393" s="3" t="s">
        <v>334</v>
      </c>
      <c r="K393" s="3"/>
      <c r="L393" s="3"/>
      <c r="M393" s="3" t="s">
        <v>1162</v>
      </c>
    </row>
    <row r="394" spans="1:13" ht="45.75">
      <c r="A394" s="3"/>
      <c r="B394" s="4" t="s">
        <v>1191</v>
      </c>
      <c r="C394" s="59" t="s">
        <v>298</v>
      </c>
      <c r="D394" s="4" t="s">
        <v>1192</v>
      </c>
      <c r="E394" s="3"/>
      <c r="F394" s="3"/>
      <c r="G394" s="3" t="s">
        <v>341</v>
      </c>
      <c r="H394" s="4" t="s">
        <v>1160</v>
      </c>
      <c r="I394" s="4" t="s">
        <v>1161</v>
      </c>
      <c r="J394" s="3" t="s">
        <v>334</v>
      </c>
      <c r="K394" s="3"/>
      <c r="L394" s="3"/>
      <c r="M394" s="3" t="s">
        <v>1162</v>
      </c>
    </row>
    <row r="395" spans="1:13" ht="45.75">
      <c r="A395" s="3"/>
      <c r="B395" s="4" t="s">
        <v>1193</v>
      </c>
      <c r="C395" s="59" t="s">
        <v>298</v>
      </c>
      <c r="D395" s="4" t="s">
        <v>1194</v>
      </c>
      <c r="E395" s="3"/>
      <c r="F395" s="3"/>
      <c r="G395" s="3" t="s">
        <v>341</v>
      </c>
      <c r="H395" s="4" t="s">
        <v>1160</v>
      </c>
      <c r="I395" s="4" t="s">
        <v>1161</v>
      </c>
      <c r="J395" s="3" t="s">
        <v>334</v>
      </c>
      <c r="K395" s="3"/>
      <c r="L395" s="3"/>
      <c r="M395" s="3" t="s">
        <v>1162</v>
      </c>
    </row>
    <row r="396" spans="1:13" ht="45.75">
      <c r="A396" s="3"/>
      <c r="B396" s="4" t="s">
        <v>1195</v>
      </c>
      <c r="C396" s="59" t="s">
        <v>298</v>
      </c>
      <c r="D396" s="4" t="s">
        <v>1196</v>
      </c>
      <c r="E396" s="3"/>
      <c r="F396" s="3"/>
      <c r="G396" s="3" t="s">
        <v>310</v>
      </c>
      <c r="H396" s="4" t="s">
        <v>1197</v>
      </c>
      <c r="I396" s="3"/>
      <c r="J396" s="3" t="s">
        <v>1198</v>
      </c>
      <c r="K396" s="3"/>
      <c r="L396" s="3"/>
      <c r="M396" s="30" t="s">
        <v>312</v>
      </c>
    </row>
    <row r="397" spans="1:13" ht="45.75">
      <c r="A397" s="3"/>
      <c r="B397" s="4" t="s">
        <v>1199</v>
      </c>
      <c r="C397" s="59" t="s">
        <v>298</v>
      </c>
      <c r="D397" s="4" t="s">
        <v>1200</v>
      </c>
      <c r="E397" s="3"/>
      <c r="F397" s="3"/>
      <c r="G397" s="3" t="s">
        <v>310</v>
      </c>
      <c r="H397" s="4" t="s">
        <v>1197</v>
      </c>
      <c r="I397" s="3"/>
      <c r="J397" s="3" t="s">
        <v>1198</v>
      </c>
      <c r="K397" s="3"/>
      <c r="L397" s="3"/>
      <c r="M397" s="30" t="s">
        <v>312</v>
      </c>
    </row>
    <row r="398" spans="1:13" ht="45.75">
      <c r="A398" s="3"/>
      <c r="B398" s="4" t="s">
        <v>1201</v>
      </c>
      <c r="C398" s="59" t="s">
        <v>298</v>
      </c>
      <c r="D398" s="4" t="s">
        <v>1202</v>
      </c>
      <c r="E398" s="3"/>
      <c r="F398" s="3"/>
      <c r="G398" s="3" t="s">
        <v>310</v>
      </c>
      <c r="H398" s="4" t="s">
        <v>1197</v>
      </c>
      <c r="I398" s="3"/>
      <c r="J398" s="3" t="s">
        <v>1198</v>
      </c>
      <c r="K398" s="3"/>
      <c r="L398" s="3"/>
      <c r="M398" s="30" t="s">
        <v>312</v>
      </c>
    </row>
    <row r="399" spans="1:13" ht="45.75">
      <c r="A399" s="3"/>
      <c r="B399" s="4" t="s">
        <v>1203</v>
      </c>
      <c r="C399" s="59" t="s">
        <v>298</v>
      </c>
      <c r="D399" s="4" t="s">
        <v>1204</v>
      </c>
      <c r="E399" s="3"/>
      <c r="F399" s="3"/>
      <c r="G399" s="3" t="s">
        <v>310</v>
      </c>
      <c r="H399" s="4" t="s">
        <v>1197</v>
      </c>
      <c r="I399" s="3"/>
      <c r="J399" s="3" t="s">
        <v>1198</v>
      </c>
      <c r="K399" s="3"/>
      <c r="L399" s="3"/>
      <c r="M399" s="30" t="s">
        <v>312</v>
      </c>
    </row>
    <row r="400" spans="1:13" ht="45.75">
      <c r="A400" s="3"/>
      <c r="B400" s="4" t="s">
        <v>1205</v>
      </c>
      <c r="C400" s="59" t="s">
        <v>298</v>
      </c>
      <c r="D400" s="4" t="s">
        <v>1206</v>
      </c>
      <c r="E400" s="3"/>
      <c r="F400" s="3"/>
      <c r="G400" s="3" t="s">
        <v>310</v>
      </c>
      <c r="H400" s="4" t="s">
        <v>1197</v>
      </c>
      <c r="I400" s="3"/>
      <c r="J400" s="3" t="s">
        <v>1198</v>
      </c>
      <c r="K400" s="3"/>
      <c r="L400" s="3"/>
      <c r="M400" s="30" t="s">
        <v>312</v>
      </c>
    </row>
    <row r="401" spans="1:13" ht="45.75">
      <c r="A401" s="3"/>
      <c r="B401" s="4" t="s">
        <v>1207</v>
      </c>
      <c r="C401" s="59" t="s">
        <v>298</v>
      </c>
      <c r="D401" s="4" t="s">
        <v>1208</v>
      </c>
      <c r="E401" s="3"/>
      <c r="F401" s="3"/>
      <c r="G401" s="3" t="s">
        <v>310</v>
      </c>
      <c r="H401" s="4" t="s">
        <v>1197</v>
      </c>
      <c r="I401" s="3"/>
      <c r="J401" s="3" t="s">
        <v>1198</v>
      </c>
      <c r="K401" s="3"/>
      <c r="L401" s="3"/>
      <c r="M401" s="30" t="s">
        <v>312</v>
      </c>
    </row>
    <row r="402" spans="1:13" ht="45.75">
      <c r="A402" s="3"/>
      <c r="B402" s="4" t="s">
        <v>1209</v>
      </c>
      <c r="C402" s="59" t="s">
        <v>298</v>
      </c>
      <c r="D402" s="4" t="s">
        <v>1210</v>
      </c>
      <c r="E402" s="3"/>
      <c r="F402" s="3"/>
      <c r="G402" s="3" t="s">
        <v>310</v>
      </c>
      <c r="H402" s="4" t="s">
        <v>1197</v>
      </c>
      <c r="I402" s="3"/>
      <c r="J402" s="3" t="s">
        <v>1198</v>
      </c>
      <c r="K402" s="3"/>
      <c r="L402" s="3"/>
      <c r="M402" s="30" t="s">
        <v>312</v>
      </c>
    </row>
    <row r="403" spans="1:13" ht="45.75">
      <c r="A403" s="3"/>
      <c r="B403" s="4" t="s">
        <v>1211</v>
      </c>
      <c r="C403" s="59" t="s">
        <v>298</v>
      </c>
      <c r="D403" s="4" t="s">
        <v>1212</v>
      </c>
      <c r="E403" s="3"/>
      <c r="F403" s="3"/>
      <c r="G403" s="3" t="s">
        <v>310</v>
      </c>
      <c r="H403" s="4" t="s">
        <v>1197</v>
      </c>
      <c r="I403" s="3"/>
      <c r="J403" s="3" t="s">
        <v>1198</v>
      </c>
      <c r="K403" s="3"/>
      <c r="L403" s="3"/>
      <c r="M403" s="30" t="s">
        <v>312</v>
      </c>
    </row>
    <row r="404" spans="1:13" ht="45.75">
      <c r="A404" s="3"/>
      <c r="B404" s="4" t="s">
        <v>1213</v>
      </c>
      <c r="C404" s="59" t="s">
        <v>298</v>
      </c>
      <c r="D404" s="4" t="s">
        <v>1214</v>
      </c>
      <c r="E404" s="3"/>
      <c r="F404" s="3"/>
      <c r="G404" s="3" t="s">
        <v>310</v>
      </c>
      <c r="H404" s="4" t="s">
        <v>1197</v>
      </c>
      <c r="I404" s="3"/>
      <c r="J404" s="3" t="s">
        <v>1198</v>
      </c>
      <c r="K404" s="3"/>
      <c r="L404" s="3"/>
      <c r="M404" s="30" t="s">
        <v>312</v>
      </c>
    </row>
    <row r="405" spans="1:13" ht="45.75">
      <c r="A405" s="3"/>
      <c r="B405" s="4" t="s">
        <v>1215</v>
      </c>
      <c r="C405" s="59" t="s">
        <v>298</v>
      </c>
      <c r="D405" s="4" t="s">
        <v>1216</v>
      </c>
      <c r="E405" s="3"/>
      <c r="F405" s="3"/>
      <c r="G405" s="3" t="s">
        <v>310</v>
      </c>
      <c r="H405" s="4" t="s">
        <v>1197</v>
      </c>
      <c r="I405" s="3"/>
      <c r="J405" s="3" t="s">
        <v>1198</v>
      </c>
      <c r="K405" s="3"/>
      <c r="L405" s="3"/>
      <c r="M405" s="30" t="s">
        <v>312</v>
      </c>
    </row>
    <row r="406" spans="1:13" ht="45.75">
      <c r="A406" s="3"/>
      <c r="B406" s="4" t="s">
        <v>1217</v>
      </c>
      <c r="C406" s="59" t="s">
        <v>298</v>
      </c>
      <c r="D406" s="4" t="s">
        <v>1218</v>
      </c>
      <c r="E406" s="3"/>
      <c r="F406" s="3"/>
      <c r="G406" s="3" t="s">
        <v>310</v>
      </c>
      <c r="H406" s="4" t="s">
        <v>1197</v>
      </c>
      <c r="I406" s="3"/>
      <c r="J406" s="3" t="s">
        <v>1198</v>
      </c>
      <c r="K406" s="3"/>
      <c r="L406" s="3"/>
      <c r="M406" s="30" t="s">
        <v>312</v>
      </c>
    </row>
    <row r="407" spans="1:13" ht="45.75">
      <c r="A407" s="3"/>
      <c r="B407" s="4" t="s">
        <v>1219</v>
      </c>
      <c r="C407" s="59" t="s">
        <v>298</v>
      </c>
      <c r="D407" s="4" t="s">
        <v>1220</v>
      </c>
      <c r="E407" s="3"/>
      <c r="F407" s="3"/>
      <c r="G407" s="3" t="s">
        <v>310</v>
      </c>
      <c r="H407" s="4" t="s">
        <v>1197</v>
      </c>
      <c r="I407" s="3"/>
      <c r="J407" s="3" t="s">
        <v>1198</v>
      </c>
      <c r="K407" s="3"/>
      <c r="L407" s="3"/>
      <c r="M407" s="30" t="s">
        <v>312</v>
      </c>
    </row>
    <row r="408" spans="1:13" ht="45.75">
      <c r="A408" s="3"/>
      <c r="B408" s="4" t="s">
        <v>1221</v>
      </c>
      <c r="C408" s="59" t="s">
        <v>298</v>
      </c>
      <c r="D408" s="4" t="s">
        <v>1222</v>
      </c>
      <c r="E408" s="3"/>
      <c r="F408" s="3"/>
      <c r="G408" s="3" t="s">
        <v>310</v>
      </c>
      <c r="H408" s="4" t="s">
        <v>1197</v>
      </c>
      <c r="I408" s="3"/>
      <c r="J408" s="3" t="s">
        <v>1198</v>
      </c>
      <c r="K408" s="3"/>
      <c r="L408" s="3"/>
      <c r="M408" s="30" t="s">
        <v>312</v>
      </c>
    </row>
    <row r="409" spans="1:13" ht="45.75">
      <c r="A409" s="3"/>
      <c r="B409" s="4" t="s">
        <v>1223</v>
      </c>
      <c r="C409" s="59" t="s">
        <v>298</v>
      </c>
      <c r="D409" s="4" t="s">
        <v>1224</v>
      </c>
      <c r="E409" s="3"/>
      <c r="F409" s="3"/>
      <c r="G409" s="3" t="s">
        <v>310</v>
      </c>
      <c r="H409" s="4" t="s">
        <v>1197</v>
      </c>
      <c r="I409" s="3"/>
      <c r="J409" s="3" t="s">
        <v>1198</v>
      </c>
      <c r="K409" s="3"/>
      <c r="L409" s="3"/>
      <c r="M409" s="30" t="s">
        <v>312</v>
      </c>
    </row>
    <row r="410" spans="1:13" ht="45.75">
      <c r="A410" s="3"/>
      <c r="B410" s="4" t="s">
        <v>1225</v>
      </c>
      <c r="C410" s="59" t="s">
        <v>298</v>
      </c>
      <c r="D410" s="4" t="s">
        <v>1226</v>
      </c>
      <c r="E410" s="3"/>
      <c r="F410" s="3"/>
      <c r="G410" s="3" t="s">
        <v>310</v>
      </c>
      <c r="H410" s="4" t="s">
        <v>1197</v>
      </c>
      <c r="I410" s="3"/>
      <c r="J410" s="3" t="s">
        <v>1198</v>
      </c>
      <c r="K410" s="3"/>
      <c r="L410" s="3"/>
      <c r="M410" s="30" t="s">
        <v>312</v>
      </c>
    </row>
    <row r="411" spans="1:13" ht="45.75">
      <c r="A411" s="3"/>
      <c r="B411" s="4" t="s">
        <v>1227</v>
      </c>
      <c r="C411" s="59" t="s">
        <v>298</v>
      </c>
      <c r="D411" s="4" t="s">
        <v>1228</v>
      </c>
      <c r="E411" s="3"/>
      <c r="F411" s="3"/>
      <c r="G411" s="3" t="s">
        <v>310</v>
      </c>
      <c r="H411" s="4" t="s">
        <v>1197</v>
      </c>
      <c r="I411" s="3"/>
      <c r="J411" s="3" t="s">
        <v>1198</v>
      </c>
      <c r="K411" s="3"/>
      <c r="L411" s="3"/>
      <c r="M411" s="30" t="s">
        <v>312</v>
      </c>
    </row>
    <row r="412" spans="1:13" ht="30">
      <c r="A412" s="3"/>
      <c r="B412" s="4" t="s">
        <v>371</v>
      </c>
      <c r="C412" s="60" t="s">
        <v>371</v>
      </c>
      <c r="D412" s="4" t="s">
        <v>1229</v>
      </c>
      <c r="E412" s="3"/>
      <c r="F412" s="3"/>
      <c r="G412" s="3"/>
      <c r="H412" s="3"/>
      <c r="I412" s="3"/>
      <c r="J412" s="3"/>
      <c r="K412" s="3"/>
      <c r="L412" s="3"/>
      <c r="M412" s="30"/>
    </row>
    <row r="413" spans="1:13">
      <c r="A413" s="3"/>
      <c r="B413" s="54" t="s">
        <v>1230</v>
      </c>
      <c r="C413" s="83" t="s">
        <v>400</v>
      </c>
      <c r="D413" s="4" t="s">
        <v>1231</v>
      </c>
      <c r="E413" s="3"/>
      <c r="F413" s="3"/>
      <c r="G413" s="3" t="s">
        <v>1232</v>
      </c>
      <c r="H413" s="3"/>
      <c r="I413" s="3"/>
      <c r="J413" s="3"/>
      <c r="K413" s="3"/>
      <c r="L413" s="3"/>
      <c r="M413" s="30"/>
    </row>
    <row r="414" spans="1:13">
      <c r="A414" s="3"/>
      <c r="B414" s="47" t="s">
        <v>1233</v>
      </c>
      <c r="C414" s="29" t="s">
        <v>400</v>
      </c>
      <c r="D414" s="47" t="s">
        <v>1234</v>
      </c>
      <c r="E414" s="46"/>
      <c r="F414" s="46"/>
      <c r="G414" s="46" t="s">
        <v>1235</v>
      </c>
      <c r="H414" s="48" t="s">
        <v>1236</v>
      </c>
      <c r="I414" s="48" t="s">
        <v>304</v>
      </c>
      <c r="J414" s="46" t="s">
        <v>1237</v>
      </c>
      <c r="K414" s="46"/>
      <c r="L414" s="46"/>
      <c r="M414" s="49"/>
    </row>
    <row r="415" spans="1:13" ht="30">
      <c r="A415" s="3"/>
      <c r="B415" s="4" t="s">
        <v>1238</v>
      </c>
      <c r="C415" s="59" t="s">
        <v>400</v>
      </c>
      <c r="D415" s="4" t="s">
        <v>1239</v>
      </c>
      <c r="E415" s="3"/>
      <c r="F415" s="3"/>
      <c r="G415" s="3"/>
      <c r="H415" s="3"/>
      <c r="I415" s="3"/>
      <c r="J415" s="3"/>
      <c r="K415" s="3"/>
      <c r="L415" s="3"/>
      <c r="M415" s="30"/>
    </row>
    <row r="416" spans="1:13">
      <c r="A416" s="3"/>
      <c r="B416" s="4" t="s">
        <v>400</v>
      </c>
      <c r="C416" s="60" t="s">
        <v>400</v>
      </c>
      <c r="D416" s="4" t="s">
        <v>1240</v>
      </c>
      <c r="E416" s="3"/>
      <c r="F416" s="3"/>
      <c r="G416" s="3"/>
      <c r="H416" s="3"/>
      <c r="I416" s="3"/>
      <c r="J416" s="3"/>
      <c r="K416" s="3"/>
      <c r="L416" s="3"/>
      <c r="M416" s="30"/>
    </row>
    <row r="417" spans="1:13">
      <c r="A417" s="3"/>
      <c r="B417" s="31"/>
      <c r="C417" s="31"/>
      <c r="D417" s="32"/>
      <c r="E417" s="32"/>
      <c r="F417" s="32"/>
      <c r="G417" s="32"/>
      <c r="H417" s="32"/>
      <c r="I417" s="32"/>
      <c r="J417" s="32"/>
      <c r="K417" s="32"/>
      <c r="L417" s="32"/>
      <c r="M417" s="33"/>
    </row>
  </sheetData>
  <mergeCells count="15">
    <mergeCell ref="P9:Q9"/>
    <mergeCell ref="P10:Q10"/>
    <mergeCell ref="P4:Q4"/>
    <mergeCell ref="P5:Q5"/>
    <mergeCell ref="P6:Q6"/>
    <mergeCell ref="P7:Q7"/>
    <mergeCell ref="P8:Q8"/>
    <mergeCell ref="A2:A3"/>
    <mergeCell ref="A59:A64"/>
    <mergeCell ref="A15:A23"/>
    <mergeCell ref="A24:A25"/>
    <mergeCell ref="A26:A27"/>
    <mergeCell ref="A29:A42"/>
    <mergeCell ref="A43:A54"/>
    <mergeCell ref="A4:A13"/>
  </mergeCells>
  <hyperlinks>
    <hyperlink ref="E4" r:id="rId1" xr:uid="{00000000-0004-0000-0000-000000000000}"/>
    <hyperlink ref="H4" r:id="rId2" xr:uid="{00000000-0004-0000-0000-000001000000}"/>
    <hyperlink ref="I4" r:id="rId3" xr:uid="{00000000-0004-0000-0000-000002000000}"/>
    <hyperlink ref="E5" r:id="rId4" xr:uid="{00000000-0004-0000-0000-000003000000}"/>
    <hyperlink ref="H5" r:id="rId5" xr:uid="{00000000-0004-0000-0000-000004000000}"/>
    <hyperlink ref="I5" r:id="rId6" xr:uid="{00000000-0004-0000-0000-000005000000}"/>
    <hyperlink ref="E6" r:id="rId7" xr:uid="{00000000-0004-0000-0000-000006000000}"/>
    <hyperlink ref="H6" r:id="rId8" xr:uid="{00000000-0004-0000-0000-000007000000}"/>
    <hyperlink ref="I6" r:id="rId9" xr:uid="{00000000-0004-0000-0000-000008000000}"/>
    <hyperlink ref="E7" r:id="rId10" xr:uid="{00000000-0004-0000-0000-000009000000}"/>
    <hyperlink ref="H7" r:id="rId11" xr:uid="{00000000-0004-0000-0000-00000A000000}"/>
    <hyperlink ref="I7" r:id="rId12" xr:uid="{00000000-0004-0000-0000-00000B000000}"/>
    <hyperlink ref="J7" r:id="rId13" xr:uid="{00000000-0004-0000-0000-00000C000000}"/>
    <hyperlink ref="E8" r:id="rId14" xr:uid="{00000000-0004-0000-0000-00000D000000}"/>
    <hyperlink ref="H8" r:id="rId15" xr:uid="{00000000-0004-0000-0000-00000E000000}"/>
    <hyperlink ref="I8" r:id="rId16" xr:uid="{00000000-0004-0000-0000-00000F000000}"/>
    <hyperlink ref="J8" r:id="rId17" xr:uid="{00000000-0004-0000-0000-000010000000}"/>
    <hyperlink ref="E9" r:id="rId18" xr:uid="{00000000-0004-0000-0000-000011000000}"/>
    <hyperlink ref="H9" r:id="rId19" xr:uid="{00000000-0004-0000-0000-000012000000}"/>
    <hyperlink ref="I9" r:id="rId20" xr:uid="{00000000-0004-0000-0000-000013000000}"/>
    <hyperlink ref="E10" r:id="rId21" xr:uid="{00000000-0004-0000-0000-000014000000}"/>
    <hyperlink ref="H10" r:id="rId22" xr:uid="{00000000-0004-0000-0000-000015000000}"/>
    <hyperlink ref="I10" r:id="rId23" xr:uid="{00000000-0004-0000-0000-000016000000}"/>
    <hyperlink ref="J10" r:id="rId24" xr:uid="{00000000-0004-0000-0000-000017000000}"/>
    <hyperlink ref="E11" r:id="rId25" xr:uid="{00000000-0004-0000-0000-000018000000}"/>
    <hyperlink ref="H11" r:id="rId26" xr:uid="{00000000-0004-0000-0000-000019000000}"/>
    <hyperlink ref="I11" r:id="rId27" xr:uid="{00000000-0004-0000-0000-00001A000000}"/>
    <hyperlink ref="E12" r:id="rId28" xr:uid="{00000000-0004-0000-0000-00001B000000}"/>
    <hyperlink ref="H12" r:id="rId29" xr:uid="{00000000-0004-0000-0000-00001C000000}"/>
    <hyperlink ref="I12" r:id="rId30" xr:uid="{00000000-0004-0000-0000-00001D000000}"/>
    <hyperlink ref="E13" r:id="rId31" xr:uid="{00000000-0004-0000-0000-00001E000000}"/>
    <hyperlink ref="H13" r:id="rId32" xr:uid="{00000000-0004-0000-0000-00001F000000}"/>
    <hyperlink ref="I13" r:id="rId33" xr:uid="{00000000-0004-0000-0000-000020000000}"/>
    <hyperlink ref="H14" r:id="rId34" xr:uid="{00000000-0004-0000-0000-000021000000}"/>
    <hyperlink ref="I14" r:id="rId35" xr:uid="{00000000-0004-0000-0000-000022000000}"/>
    <hyperlink ref="H15" r:id="rId36" xr:uid="{00000000-0004-0000-0000-000023000000}"/>
    <hyperlink ref="I15" r:id="rId37" xr:uid="{00000000-0004-0000-0000-000024000000}"/>
    <hyperlink ref="J15" r:id="rId38" xr:uid="{00000000-0004-0000-0000-000025000000}"/>
    <hyperlink ref="H16" r:id="rId39" xr:uid="{00000000-0004-0000-0000-000026000000}"/>
    <hyperlink ref="I16" r:id="rId40" xr:uid="{00000000-0004-0000-0000-000027000000}"/>
    <hyperlink ref="H17" r:id="rId41" xr:uid="{00000000-0004-0000-0000-000028000000}"/>
    <hyperlink ref="I17" r:id="rId42" xr:uid="{00000000-0004-0000-0000-000029000000}"/>
    <hyperlink ref="J17" r:id="rId43" xr:uid="{00000000-0004-0000-0000-00002A000000}"/>
    <hyperlink ref="E18" r:id="rId44" xr:uid="{00000000-0004-0000-0000-00002B000000}"/>
    <hyperlink ref="H19" r:id="rId45" xr:uid="{00000000-0004-0000-0000-00002C000000}"/>
    <hyperlink ref="I19" r:id="rId46" xr:uid="{00000000-0004-0000-0000-00002D000000}"/>
    <hyperlink ref="J19" r:id="rId47" xr:uid="{00000000-0004-0000-0000-00002E000000}"/>
    <hyperlink ref="H20" r:id="rId48" xr:uid="{00000000-0004-0000-0000-00002F000000}"/>
    <hyperlink ref="I20" r:id="rId49" xr:uid="{00000000-0004-0000-0000-000030000000}"/>
    <hyperlink ref="J20" r:id="rId50" xr:uid="{00000000-0004-0000-0000-000031000000}"/>
    <hyperlink ref="H21" r:id="rId51" xr:uid="{00000000-0004-0000-0000-000032000000}"/>
    <hyperlink ref="I21" r:id="rId52" xr:uid="{00000000-0004-0000-0000-000033000000}"/>
    <hyperlink ref="J21" r:id="rId53" xr:uid="{00000000-0004-0000-0000-000034000000}"/>
    <hyperlink ref="H22" r:id="rId54" xr:uid="{00000000-0004-0000-0000-000035000000}"/>
    <hyperlink ref="I22" r:id="rId55" xr:uid="{00000000-0004-0000-0000-000036000000}"/>
    <hyperlink ref="J22" r:id="rId56" xr:uid="{00000000-0004-0000-0000-000037000000}"/>
    <hyperlink ref="H23" r:id="rId57" xr:uid="{00000000-0004-0000-0000-000038000000}"/>
    <hyperlink ref="I23" r:id="rId58" xr:uid="{00000000-0004-0000-0000-000039000000}"/>
    <hyperlink ref="J23" r:id="rId59" xr:uid="{00000000-0004-0000-0000-00003A000000}"/>
    <hyperlink ref="E24" r:id="rId60" xr:uid="{00000000-0004-0000-0000-00003B000000}"/>
    <hyperlink ref="H24" r:id="rId61" xr:uid="{00000000-0004-0000-0000-00003C000000}"/>
    <hyperlink ref="I24" r:id="rId62" xr:uid="{00000000-0004-0000-0000-00003D000000}"/>
    <hyperlink ref="J24" r:id="rId63" xr:uid="{00000000-0004-0000-0000-00003E000000}"/>
    <hyperlink ref="H25" r:id="rId64" xr:uid="{00000000-0004-0000-0000-00003F000000}"/>
    <hyperlink ref="I25" r:id="rId65" xr:uid="{00000000-0004-0000-0000-000040000000}"/>
    <hyperlink ref="J25" r:id="rId66" xr:uid="{00000000-0004-0000-0000-000041000000}"/>
    <hyperlink ref="H26" r:id="rId67" xr:uid="{00000000-0004-0000-0000-000042000000}"/>
    <hyperlink ref="I26" r:id="rId68" xr:uid="{00000000-0004-0000-0000-000043000000}"/>
    <hyperlink ref="J26" r:id="rId69" xr:uid="{00000000-0004-0000-0000-000044000000}"/>
    <hyperlink ref="E27" r:id="rId70" xr:uid="{00000000-0004-0000-0000-000045000000}"/>
    <hyperlink ref="H27" r:id="rId71" xr:uid="{00000000-0004-0000-0000-000046000000}"/>
    <hyperlink ref="I27" r:id="rId72" xr:uid="{00000000-0004-0000-0000-000047000000}"/>
    <hyperlink ref="J27" r:id="rId73" xr:uid="{00000000-0004-0000-0000-000048000000}"/>
    <hyperlink ref="E28" r:id="rId74" xr:uid="{00000000-0004-0000-0000-000049000000}"/>
    <hyperlink ref="H28" r:id="rId75" xr:uid="{00000000-0004-0000-0000-00004A000000}"/>
    <hyperlink ref="I28" r:id="rId76" xr:uid="{00000000-0004-0000-0000-00004B000000}"/>
    <hyperlink ref="H29" r:id="rId77" xr:uid="{00000000-0004-0000-0000-00004C000000}"/>
    <hyperlink ref="I29" r:id="rId78" xr:uid="{00000000-0004-0000-0000-00004D000000}"/>
    <hyperlink ref="H30" r:id="rId79" xr:uid="{00000000-0004-0000-0000-00004E000000}"/>
    <hyperlink ref="I30" r:id="rId80" xr:uid="{00000000-0004-0000-0000-00004F000000}"/>
    <hyperlink ref="E31" r:id="rId81" xr:uid="{00000000-0004-0000-0000-000050000000}"/>
    <hyperlink ref="H31" r:id="rId82" xr:uid="{00000000-0004-0000-0000-000051000000}"/>
    <hyperlink ref="I31" r:id="rId83" xr:uid="{00000000-0004-0000-0000-000052000000}"/>
    <hyperlink ref="H32" r:id="rId84" xr:uid="{00000000-0004-0000-0000-000053000000}"/>
    <hyperlink ref="I32" r:id="rId85" xr:uid="{00000000-0004-0000-0000-000054000000}"/>
    <hyperlink ref="J32" r:id="rId86" xr:uid="{00000000-0004-0000-0000-000055000000}"/>
    <hyperlink ref="H33" r:id="rId87" xr:uid="{00000000-0004-0000-0000-000056000000}"/>
    <hyperlink ref="I33" r:id="rId88" xr:uid="{00000000-0004-0000-0000-000057000000}"/>
    <hyperlink ref="J33" r:id="rId89" xr:uid="{00000000-0004-0000-0000-000058000000}"/>
    <hyperlink ref="H34" r:id="rId90" xr:uid="{00000000-0004-0000-0000-000059000000}"/>
    <hyperlink ref="I34" r:id="rId91" xr:uid="{00000000-0004-0000-0000-00005A000000}"/>
    <hyperlink ref="H35" r:id="rId92" xr:uid="{00000000-0004-0000-0000-00005B000000}"/>
    <hyperlink ref="I35" r:id="rId93" xr:uid="{00000000-0004-0000-0000-00005C000000}"/>
    <hyperlink ref="J35" r:id="rId94" xr:uid="{00000000-0004-0000-0000-00005D000000}"/>
    <hyperlink ref="H36" r:id="rId95" xr:uid="{00000000-0004-0000-0000-00005E000000}"/>
    <hyperlink ref="I36" r:id="rId96" xr:uid="{00000000-0004-0000-0000-00005F000000}"/>
    <hyperlink ref="E37" r:id="rId97" xr:uid="{00000000-0004-0000-0000-000060000000}"/>
    <hyperlink ref="H37" r:id="rId98" xr:uid="{00000000-0004-0000-0000-000061000000}"/>
    <hyperlink ref="I37" r:id="rId99" xr:uid="{00000000-0004-0000-0000-000062000000}"/>
    <hyperlink ref="J37" r:id="rId100" xr:uid="{00000000-0004-0000-0000-000063000000}"/>
    <hyperlink ref="H38" r:id="rId101" xr:uid="{00000000-0004-0000-0000-000064000000}"/>
    <hyperlink ref="I38" r:id="rId102" xr:uid="{00000000-0004-0000-0000-000065000000}"/>
    <hyperlink ref="J38" r:id="rId103" xr:uid="{00000000-0004-0000-0000-000066000000}"/>
    <hyperlink ref="H39" r:id="rId104" xr:uid="{00000000-0004-0000-0000-000067000000}"/>
    <hyperlink ref="I39" r:id="rId105" xr:uid="{00000000-0004-0000-0000-000068000000}"/>
    <hyperlink ref="J39" r:id="rId106" xr:uid="{00000000-0004-0000-0000-000069000000}"/>
    <hyperlink ref="H40" r:id="rId107" xr:uid="{00000000-0004-0000-0000-00006A000000}"/>
    <hyperlink ref="I40" r:id="rId108" xr:uid="{00000000-0004-0000-0000-00006B000000}"/>
    <hyperlink ref="J40" r:id="rId109" xr:uid="{00000000-0004-0000-0000-00006C000000}"/>
    <hyperlink ref="H41" r:id="rId110" xr:uid="{00000000-0004-0000-0000-00006D000000}"/>
    <hyperlink ref="I41" r:id="rId111" xr:uid="{00000000-0004-0000-0000-00006E000000}"/>
    <hyperlink ref="J41" r:id="rId112" xr:uid="{00000000-0004-0000-0000-00006F000000}"/>
    <hyperlink ref="H42" r:id="rId113" xr:uid="{00000000-0004-0000-0000-000070000000}"/>
    <hyperlink ref="I42" r:id="rId114" xr:uid="{00000000-0004-0000-0000-000071000000}"/>
    <hyperlink ref="H43" r:id="rId115" xr:uid="{00000000-0004-0000-0000-000072000000}"/>
    <hyperlink ref="I43" r:id="rId116" xr:uid="{00000000-0004-0000-0000-000073000000}"/>
    <hyperlink ref="H44" r:id="rId117" xr:uid="{00000000-0004-0000-0000-000074000000}"/>
    <hyperlink ref="I44" r:id="rId118" xr:uid="{00000000-0004-0000-0000-000075000000}"/>
    <hyperlink ref="H45" r:id="rId119" xr:uid="{00000000-0004-0000-0000-000076000000}"/>
    <hyperlink ref="I45" r:id="rId120" xr:uid="{00000000-0004-0000-0000-000077000000}"/>
    <hyperlink ref="H46" r:id="rId121" xr:uid="{00000000-0004-0000-0000-000078000000}"/>
    <hyperlink ref="I46" r:id="rId122" xr:uid="{00000000-0004-0000-0000-000079000000}"/>
    <hyperlink ref="J46" r:id="rId123" xr:uid="{00000000-0004-0000-0000-00007A000000}"/>
    <hyperlink ref="H47" r:id="rId124" xr:uid="{00000000-0004-0000-0000-00007B000000}"/>
    <hyperlink ref="I47" r:id="rId125" xr:uid="{00000000-0004-0000-0000-00007C000000}"/>
    <hyperlink ref="J47" r:id="rId126" xr:uid="{00000000-0004-0000-0000-00007D000000}"/>
    <hyperlink ref="H48" r:id="rId127" xr:uid="{00000000-0004-0000-0000-00007E000000}"/>
    <hyperlink ref="I48" r:id="rId128" xr:uid="{00000000-0004-0000-0000-00007F000000}"/>
    <hyperlink ref="J48" r:id="rId129" xr:uid="{00000000-0004-0000-0000-000080000000}"/>
    <hyperlink ref="H49" r:id="rId130" xr:uid="{00000000-0004-0000-0000-000081000000}"/>
    <hyperlink ref="I49" r:id="rId131" xr:uid="{00000000-0004-0000-0000-000082000000}"/>
    <hyperlink ref="H50" r:id="rId132" xr:uid="{00000000-0004-0000-0000-000083000000}"/>
    <hyperlink ref="I50" r:id="rId133" xr:uid="{00000000-0004-0000-0000-000084000000}"/>
    <hyperlink ref="J50" r:id="rId134" xr:uid="{00000000-0004-0000-0000-000085000000}"/>
    <hyperlink ref="H51" r:id="rId135" xr:uid="{00000000-0004-0000-0000-000086000000}"/>
    <hyperlink ref="I51" r:id="rId136" xr:uid="{00000000-0004-0000-0000-000087000000}"/>
    <hyperlink ref="J51" r:id="rId137" xr:uid="{00000000-0004-0000-0000-000088000000}"/>
    <hyperlink ref="H52" r:id="rId138" xr:uid="{00000000-0004-0000-0000-000089000000}"/>
    <hyperlink ref="I52" r:id="rId139" xr:uid="{00000000-0004-0000-0000-00008A000000}"/>
    <hyperlink ref="J52" r:id="rId140" xr:uid="{00000000-0004-0000-0000-00008B000000}"/>
    <hyperlink ref="H53" r:id="rId141" xr:uid="{00000000-0004-0000-0000-00008C000000}"/>
    <hyperlink ref="I53" r:id="rId142" xr:uid="{00000000-0004-0000-0000-00008D000000}"/>
    <hyperlink ref="H54" r:id="rId143" xr:uid="{00000000-0004-0000-0000-00008E000000}"/>
    <hyperlink ref="I54" r:id="rId144" xr:uid="{00000000-0004-0000-0000-00008F000000}"/>
    <hyperlink ref="H55" r:id="rId145" xr:uid="{00000000-0004-0000-0000-000090000000}"/>
    <hyperlink ref="I55" r:id="rId146" xr:uid="{00000000-0004-0000-0000-000091000000}"/>
    <hyperlink ref="H56" r:id="rId147" xr:uid="{00000000-0004-0000-0000-000092000000}"/>
    <hyperlink ref="I56" r:id="rId148" xr:uid="{00000000-0004-0000-0000-000093000000}"/>
    <hyperlink ref="J56" r:id="rId149" xr:uid="{00000000-0004-0000-0000-000094000000}"/>
    <hyperlink ref="H57" r:id="rId150" xr:uid="{00000000-0004-0000-0000-000095000000}"/>
    <hyperlink ref="I57" r:id="rId151" xr:uid="{00000000-0004-0000-0000-000096000000}"/>
    <hyperlink ref="H58" r:id="rId152" xr:uid="{00000000-0004-0000-0000-000097000000}"/>
    <hyperlink ref="I58" r:id="rId153" xr:uid="{00000000-0004-0000-0000-000098000000}"/>
    <hyperlink ref="H59" r:id="rId154" xr:uid="{00000000-0004-0000-0000-000099000000}"/>
    <hyperlink ref="I59" r:id="rId155" xr:uid="{00000000-0004-0000-0000-00009A000000}"/>
    <hyperlink ref="J60" r:id="rId156" display="eventos_IAPOL" xr:uid="{00000000-0004-0000-0000-00009D000000}"/>
    <hyperlink ref="H61" r:id="rId157" xr:uid="{00000000-0004-0000-0000-00009E000000}"/>
    <hyperlink ref="I61" r:id="rId158" xr:uid="{00000000-0004-0000-0000-00009F000000}"/>
    <hyperlink ref="J61" r:id="rId159" xr:uid="{00000000-0004-0000-0000-0000A0000000}"/>
    <hyperlink ref="H62" r:id="rId160" xr:uid="{00000000-0004-0000-0000-0000A1000000}"/>
    <hyperlink ref="I62" r:id="rId161" xr:uid="{00000000-0004-0000-0000-0000A2000000}"/>
    <hyperlink ref="J62" r:id="rId162" xr:uid="{00000000-0004-0000-0000-0000A3000000}"/>
    <hyperlink ref="H63" r:id="rId163" xr:uid="{00000000-0004-0000-0000-0000A4000000}"/>
    <hyperlink ref="I63" r:id="rId164" xr:uid="{00000000-0004-0000-0000-0000A5000000}"/>
    <hyperlink ref="E14" r:id="rId165" xr:uid="{23E4DED4-E184-40C2-8307-56F93227EE7E}"/>
    <hyperlink ref="E15" r:id="rId166" xr:uid="{B4F953DD-EE0C-48B4-9472-9A9660DC1EEE}"/>
    <hyperlink ref="E17" r:id="rId167" xr:uid="{D23FADE7-3ADD-4690-9C14-DBD641F3F2F6}"/>
    <hyperlink ref="E19" r:id="rId168" xr:uid="{A372F792-8617-4783-A624-E07A420AFC66}"/>
    <hyperlink ref="E20" r:id="rId169" xr:uid="{ADE0CC3D-A4DB-4ADC-BE12-9FA413FE1AEB}"/>
    <hyperlink ref="E21" r:id="rId170" xr:uid="{A0293484-1FB6-4025-ACBA-C2967E551416}"/>
    <hyperlink ref="E16" r:id="rId171" xr:uid="{F49BE822-2322-41E3-8AFC-19955AE2FFE9}"/>
    <hyperlink ref="E22" r:id="rId172" xr:uid="{1306977B-0221-4168-8585-FD613F1FA9ED}"/>
    <hyperlink ref="E23" r:id="rId173" xr:uid="{7E2CA42B-2EF9-410F-BFD9-98F85A7FC247}"/>
    <hyperlink ref="E25" r:id="rId174" xr:uid="{2810E2FF-EFDD-486F-A559-ECCC05753734}"/>
    <hyperlink ref="E26" r:id="rId175" xr:uid="{5A90BF3E-E1E7-47F9-8A62-460AFF94CD0F}"/>
    <hyperlink ref="E29" r:id="rId176" xr:uid="{69DFA2E8-9937-4F75-8CEA-DFC08FBDF3D3}"/>
    <hyperlink ref="E30" r:id="rId177" xr:uid="{17DE79B7-3AFA-4B60-BA58-C0F2D33D03E6}"/>
    <hyperlink ref="E32" r:id="rId178" xr:uid="{E73F177A-09B4-489C-BD99-18972580A55A}"/>
    <hyperlink ref="E33" r:id="rId179" xr:uid="{542AB74D-3285-49E3-A5B3-0E34B1767D33}"/>
    <hyperlink ref="E34" r:id="rId180" xr:uid="{A865A0CF-6C13-4F97-9B03-DB8E5FC82819}"/>
    <hyperlink ref="E35" r:id="rId181" xr:uid="{6049FC0F-4740-48EC-919F-0F43562E498F}"/>
    <hyperlink ref="E36" r:id="rId182" xr:uid="{530D58AE-5A14-401C-817F-207C2C74E51A}"/>
    <hyperlink ref="E38" r:id="rId183" xr:uid="{70E185FC-0521-445C-A952-0FAC638C51B6}"/>
    <hyperlink ref="E39" r:id="rId184" xr:uid="{FE315ABF-33F8-474F-8010-C83AA7E2A989}"/>
    <hyperlink ref="E40" r:id="rId185" xr:uid="{64FC75C6-797D-4CA0-A85D-71EA12C6D788}"/>
    <hyperlink ref="E41" r:id="rId186" xr:uid="{D2D434B5-588C-4EA8-82A8-759497696E07}"/>
    <hyperlink ref="E42" r:id="rId187" xr:uid="{F866445A-315D-4929-879D-E5834D1D6B79}"/>
    <hyperlink ref="E43" r:id="rId188" xr:uid="{C0FA4051-E835-4280-9C47-EF71E2FCB1BD}"/>
    <hyperlink ref="E44" r:id="rId189" xr:uid="{130E3ED7-9865-47B7-98FE-36FB2FEEAFB3}"/>
    <hyperlink ref="E45" r:id="rId190" xr:uid="{10EB0669-B168-474B-8FB9-52F072466CC1}"/>
    <hyperlink ref="E46" r:id="rId191" xr:uid="{4EE1F360-C86D-494A-99F1-88AD8620DD78}"/>
    <hyperlink ref="E47" r:id="rId192" xr:uid="{506B8017-DF1A-48AD-9588-247A672399F6}"/>
    <hyperlink ref="E48" r:id="rId193" xr:uid="{638B301D-EFB9-406D-B56E-481D932FC72D}"/>
    <hyperlink ref="E49" r:id="rId194" xr:uid="{9D53A631-8F53-428B-8EFE-F08DAC283341}"/>
    <hyperlink ref="E50" r:id="rId195" xr:uid="{73039C1F-8AA4-4062-B158-956A33715CB7}"/>
    <hyperlink ref="E51" r:id="rId196" xr:uid="{9D05427D-6BA2-4531-A0B7-E1A46EE53565}"/>
    <hyperlink ref="E52" r:id="rId197" xr:uid="{68C39126-A512-4DFC-ABF6-D96737E3594D}"/>
    <hyperlink ref="E53" r:id="rId198" xr:uid="{63AD4F0E-E6B8-435A-BA05-2110E52F155E}"/>
    <hyperlink ref="E54" r:id="rId199" xr:uid="{A639A683-4F4C-4B1F-8CA7-FF83F7E7C702}"/>
    <hyperlink ref="E55" r:id="rId200" xr:uid="{6DC09418-57A3-4E92-A7BC-1CEB89F84645}"/>
    <hyperlink ref="E56" r:id="rId201" xr:uid="{C799FCD5-9787-4785-96DB-92FF28665299}"/>
    <hyperlink ref="E57" r:id="rId202" xr:uid="{5F83B300-B75E-4595-BB6F-921BA997DE6A}"/>
    <hyperlink ref="E58" r:id="rId203" xr:uid="{79F7C0EF-44A6-4673-9BA8-70BDF6D4F2DA}"/>
    <hyperlink ref="E59" r:id="rId204" xr:uid="{D8F9F28B-B9B2-414A-8051-B7E781E8F665}"/>
    <hyperlink ref="E60" r:id="rId205" xr:uid="{273AD408-CDAD-495F-9826-17089092527E}"/>
    <hyperlink ref="E61" r:id="rId206" xr:uid="{EAA00F7A-09AE-4BA8-9307-C72433A32F0D}"/>
    <hyperlink ref="E62" r:id="rId207" xr:uid="{74BC4DF1-DE01-4E09-9A07-6593283515C7}"/>
    <hyperlink ref="E63" r:id="rId208" xr:uid="{4C77B4E1-5888-48F2-8785-942EEA161892}"/>
    <hyperlink ref="I414" r:id="rId209" xr:uid="{F72AB629-3FD0-4BF5-ABDA-8DAD6541E446}"/>
    <hyperlink ref="H414" r:id="rId210" xr:uid="{D9ADF558-6993-4F17-9997-88A63B01CE55}"/>
    <hyperlink ref="E2" r:id="rId211" xr:uid="{CF4C2FA6-8260-40BE-AC20-6FF1936A79F4}"/>
    <hyperlink ref="E3" r:id="rId212" xr:uid="{9A622D0F-72E9-4502-8CBA-C02F5F86265A}"/>
    <hyperlink ref="H66" r:id="rId213" xr:uid="{EEC669D4-28D9-4ED8-A111-DD8796801BB4}"/>
    <hyperlink ref="H2" r:id="rId214" xr:uid="{A4A4F77C-3CF8-41AC-B5E8-F9A1C6C56A02}"/>
    <hyperlink ref="H3" r:id="rId215" xr:uid="{6FC41089-02A9-4234-8AE7-EE890E426391}"/>
    <hyperlink ref="E64" r:id="rId216" xr:uid="{B7774590-2478-48CF-99AE-7356A69DE169}"/>
    <hyperlink ref="H64" r:id="rId217" xr:uid="{6BAF140D-7507-403B-8055-F0AD078EDDAA}"/>
    <hyperlink ref="I64" r:id="rId218" xr:uid="{463914B5-A362-438F-93B7-EF192831E278}"/>
    <hyperlink ref="H60" r:id="rId219" xr:uid="{D8939B3A-036D-4CE4-9FF5-1C2D836DA49F}"/>
    <hyperlink ref="I60" r:id="rId220" xr:uid="{EEF4B675-AD43-4588-B17E-319913CF9E23}"/>
    <hyperlink ref="I2" r:id="rId221" xr:uid="{DE254D53-4BC9-45ED-B645-38BCA3522B9B}"/>
    <hyperlink ref="J2" r:id="rId222" xr:uid="{B8AB3405-DE46-4E6F-8E41-46D4920336F8}"/>
  </hyperlinks>
  <pageMargins left="0.7" right="0.7" top="0.75" bottom="0.75" header="0.511811023622047" footer="0.511811023622047"/>
  <pageSetup paperSize="9" orientation="portrait" horizontalDpi="300" verticalDpi="300"/>
  <tableParts count="1">
    <tablePart r:id="rId2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8125-476C-40B2-A411-F780D77B82DE}">
  <dimension ref="A4:I16"/>
  <sheetViews>
    <sheetView workbookViewId="0">
      <selection activeCell="A12" sqref="A12"/>
    </sheetView>
  </sheetViews>
  <sheetFormatPr defaultRowHeight="12.75"/>
  <cols>
    <col min="1" max="1" width="22.85546875" bestFit="1" customWidth="1"/>
    <col min="2" max="2" width="17.5703125" bestFit="1" customWidth="1"/>
    <col min="3" max="3" width="13.7109375" bestFit="1" customWidth="1"/>
    <col min="4" max="4" width="14.42578125" bestFit="1" customWidth="1"/>
    <col min="5" max="5" width="22.5703125" bestFit="1" customWidth="1"/>
    <col min="6" max="6" width="26" bestFit="1" customWidth="1"/>
    <col min="7" max="7" width="22.140625" bestFit="1" customWidth="1"/>
    <col min="8" max="8" width="24" bestFit="1" customWidth="1"/>
    <col min="9" max="9" width="21.42578125" bestFit="1" customWidth="1"/>
    <col min="10" max="10" width="19.28515625" bestFit="1" customWidth="1"/>
  </cols>
  <sheetData>
    <row r="4" spans="1:9">
      <c r="A4" t="s">
        <v>1241</v>
      </c>
      <c r="B4" t="s">
        <v>1242</v>
      </c>
      <c r="C4" t="s">
        <v>1243</v>
      </c>
      <c r="D4" t="s">
        <v>1244</v>
      </c>
      <c r="E4" t="s">
        <v>1245</v>
      </c>
      <c r="F4" t="s">
        <v>1246</v>
      </c>
    </row>
    <row r="5" spans="1:9">
      <c r="A5" s="159" t="s">
        <v>1247</v>
      </c>
      <c r="B5">
        <f>COUNTA(tblDashboard[ID Tablero])</f>
        <v>101</v>
      </c>
      <c r="C5">
        <f>COUNTIF(tblDashboard[ESTADO], "ELIMINADO")</f>
        <v>52</v>
      </c>
      <c r="D5">
        <f>$B$5-$C$5</f>
        <v>49</v>
      </c>
      <c r="E5" s="157">
        <f>IFERROR($C$5/$B$5, 0)</f>
        <v>0.51485148514851486</v>
      </c>
      <c r="F5">
        <f>COUNTIFS(tblDashboard[ESTADO], "ELIMINADO", tblDashboard[FECHA], "")</f>
        <v>0</v>
      </c>
    </row>
    <row r="6" spans="1:9">
      <c r="A6" s="159" t="s">
        <v>1248</v>
      </c>
      <c r="B6">
        <f>COUNTA(tblAnalisis[ID Analisis])</f>
        <v>327</v>
      </c>
      <c r="C6">
        <f>COUNTIF(tblAnalisis[ESTADO], "ELIMINADO")</f>
        <v>281</v>
      </c>
      <c r="D6">
        <f>$B$6-$C$6</f>
        <v>46</v>
      </c>
      <c r="E6" s="157">
        <f>IFERROR($C$6/$B$6, 0)</f>
        <v>0.85932721712538229</v>
      </c>
      <c r="F6">
        <f>COUNTIFS(tblDashboard[ESTADO], "ELIMINADO", tblDashboard[FECHA], "")</f>
        <v>0</v>
      </c>
    </row>
    <row r="7" spans="1:9">
      <c r="A7" s="159" t="s">
        <v>1249</v>
      </c>
      <c r="B7">
        <f>COUNTA(tblDatasets[ID])</f>
        <v>177</v>
      </c>
      <c r="C7">
        <f>COUNTIF(tblDatasets[ESTADO], "ELIMINADO")</f>
        <v>72</v>
      </c>
      <c r="D7">
        <f>$B$7-$C$7</f>
        <v>105</v>
      </c>
      <c r="E7" s="157">
        <f>IFERROR($C$7/$B$7, 0)</f>
        <v>0.40677966101694918</v>
      </c>
      <c r="F7">
        <f>COUNTIFS(tblDashboard[ESTADO], "ELIMINADO", tblDashboard[FECHA], "")</f>
        <v>0</v>
      </c>
    </row>
    <row r="8" spans="1:9">
      <c r="A8" s="159" t="s">
        <v>1250</v>
      </c>
      <c r="B8" s="161">
        <f>SUM($B$5:$B$7)</f>
        <v>605</v>
      </c>
      <c r="C8" s="161">
        <f>SUM($C$5:$C$7)</f>
        <v>405</v>
      </c>
      <c r="D8" s="161">
        <f>SUM($D$5:$D$7)</f>
        <v>200</v>
      </c>
      <c r="E8" s="162">
        <f>IFERROR($C$8/$B$8, 0)</f>
        <v>0.66942148760330578</v>
      </c>
      <c r="F8" s="161">
        <f>SUM($F$5:$F$7)</f>
        <v>0</v>
      </c>
    </row>
    <row r="10" spans="1:9">
      <c r="B10" s="131">
        <f>DATE(2026,10,6)</f>
        <v>46301</v>
      </c>
    </row>
    <row r="11" spans="1:9">
      <c r="A11" s="158"/>
      <c r="B11" s="158"/>
      <c r="C11" s="158"/>
      <c r="D11" s="158"/>
      <c r="E11" s="158"/>
      <c r="F11" s="158"/>
      <c r="G11" s="158"/>
    </row>
    <row r="12" spans="1:9">
      <c r="A12" t="s">
        <v>1251</v>
      </c>
      <c r="B12" t="s">
        <v>1252</v>
      </c>
      <c r="C12" t="s">
        <v>1253</v>
      </c>
      <c r="D12" t="s">
        <v>1254</v>
      </c>
      <c r="E12" t="s">
        <v>1255</v>
      </c>
      <c r="F12" t="s">
        <v>1256</v>
      </c>
      <c r="G12" t="s">
        <v>1257</v>
      </c>
      <c r="H12" t="s">
        <v>1258</v>
      </c>
      <c r="I12" t="s">
        <v>1259</v>
      </c>
    </row>
    <row r="13" spans="1:9">
      <c r="A13" s="160">
        <f ca="1">IF($B$10+ROW()-13&lt;=TODAY(),$B$10+ROW()-13,"")</f>
        <v>46301</v>
      </c>
      <c r="B13">
        <f ca="1">IF($A13="","",COUNTIFS(tblDashboard[ESTADO],"ELIMINADO",tblDashboard[FECHA],"&gt;="&amp;$A13,tblDashboard[FECHA],"&lt;"&amp;($A13+1)))</f>
        <v>0</v>
      </c>
      <c r="C13">
        <f ca="1">IF($A13="","",COUNTIFS(tblAnalisis[ESTADO],"ELIMINADO",tblAnalisis[FECHA],"&gt;="&amp;$A13,tblAnalisis[FECHA],"&lt;"&amp;($A13+1)))</f>
        <v>0</v>
      </c>
      <c r="D13">
        <f ca="1">IF($A13="","",COUNTIFS(tblDatasets[ESTADO],"ELIMINADO",tblDatasets[FECHA],"&gt;="&amp;$A13,tblDatasets[FECHA],"&lt;"&amp;($A13+1)))</f>
        <v>0</v>
      </c>
      <c r="E13">
        <f ca="1">IF(A13="","",SUM(B13:D13))</f>
        <v>0</v>
      </c>
      <c r="F13">
        <f ca="1">IF($A13="","",SUM($B$13:B13))</f>
        <v>0</v>
      </c>
      <c r="G13">
        <f ca="1">IF($A13="","",SUM($C$13:C13))</f>
        <v>0</v>
      </c>
      <c r="H13">
        <f ca="1">IF($A13="","",SUM($D$13:D13))</f>
        <v>0</v>
      </c>
      <c r="I13">
        <f ca="1">IF(A13="","",SUM($E$13:E13))</f>
        <v>0</v>
      </c>
    </row>
    <row r="14" spans="1:9">
      <c r="A14" s="160">
        <f t="shared" ref="A14:A16" ca="1" si="0">IF($B$10+ROW()-13&lt;=TODAY(),$B$10+ROW()-13,"")</f>
        <v>46302</v>
      </c>
      <c r="B14">
        <f ca="1">IF($A14="","",COUNTIFS(tblDashboard[ESTADO],"ELIMINADO",tblDashboard[FECHA],"&gt;="&amp;$A14,tblDashboard[FECHA],"&lt;"&amp;($A14+1)))</f>
        <v>48</v>
      </c>
      <c r="C14">
        <f ca="1">IF($A14="","",COUNTIFS(tblAnalisis[ESTADO],"ELIMINADO",tblAnalisis[FECHA],"&gt;="&amp;$A14,tblAnalisis[FECHA],"&lt;"&amp;($A14+1)))</f>
        <v>56</v>
      </c>
      <c r="D14">
        <f ca="1">IF($A14="","",COUNTIFS(tblDatasets[ESTADO],"ELIMINADO",tblDatasets[FECHA],"&gt;="&amp;$A14,tblDatasets[FECHA],"&lt;"&amp;($A14+1)))</f>
        <v>0</v>
      </c>
      <c r="E14">
        <f t="shared" ref="E14:E16" ca="1" si="1">IF(A14="","",SUM(B14:D14))</f>
        <v>104</v>
      </c>
      <c r="F14">
        <f ca="1">IF($A14="","",SUM($B$13:B14))</f>
        <v>48</v>
      </c>
      <c r="G14">
        <f ca="1">IF($A14="","",SUM($C$13:C14))</f>
        <v>56</v>
      </c>
      <c r="H14">
        <f ca="1">IF($A14="","",SUM($D$13:D14))</f>
        <v>0</v>
      </c>
      <c r="I14">
        <f ca="1">IF(A14="","",SUM($E$13:E14))</f>
        <v>104</v>
      </c>
    </row>
    <row r="15" spans="1:9">
      <c r="A15" s="160">
        <f t="shared" ca="1" si="0"/>
        <v>46303</v>
      </c>
      <c r="B15">
        <f ca="1">IF($A15="","",COUNTIFS(tblDashboard[ESTADO],"ELIMINADO",tblDashboard[FECHA],"&gt;="&amp;$A15,tblDashboard[FECHA],"&lt;"&amp;($A15+1)))</f>
        <v>3</v>
      </c>
      <c r="C15">
        <f ca="1">IF($A15="","",COUNTIFS(tblAnalisis[ESTADO],"ELIMINADO",tblAnalisis[FECHA],"&gt;="&amp;$A15,tblAnalisis[FECHA],"&lt;"&amp;($A15+1)))</f>
        <v>225</v>
      </c>
      <c r="D15">
        <f ca="1">IF($A15="","",COUNTIFS(tblDatasets[ESTADO],"ELIMINADO",tblDatasets[FECHA],"&gt;="&amp;$A15,tblDatasets[FECHA],"&lt;"&amp;($A15+1)))</f>
        <v>68</v>
      </c>
      <c r="E15">
        <f t="shared" ca="1" si="1"/>
        <v>296</v>
      </c>
      <c r="F15">
        <f ca="1">IF($A15="","",SUM($B$13:B15))</f>
        <v>51</v>
      </c>
      <c r="G15">
        <f ca="1">IF($A15="","",SUM($C$13:C15))</f>
        <v>281</v>
      </c>
      <c r="H15">
        <f ca="1">IF($A15="","",SUM($D$13:D15))</f>
        <v>68</v>
      </c>
      <c r="I15">
        <f ca="1">IF(A15="","",SUM($E$13:E15))</f>
        <v>400</v>
      </c>
    </row>
    <row r="16" spans="1:9">
      <c r="A16" s="160">
        <f t="shared" ca="1" si="0"/>
        <v>46304</v>
      </c>
      <c r="B16">
        <f ca="1">IF($A16="","",COUNTIFS(tblDashboard[ESTADO],"ELIMINADO",tblDashboard[FECHA],"&gt;="&amp;$A16,tblDashboard[FECHA],"&lt;"&amp;($A16+1)))</f>
        <v>1</v>
      </c>
      <c r="C16">
        <f ca="1">IF($A16="","",COUNTIFS(tblAnalisis[ESTADO],"ELIMINADO",tblAnalisis[FECHA],"&gt;="&amp;$A16,tblAnalisis[FECHA],"&lt;"&amp;($A16+1)))</f>
        <v>0</v>
      </c>
      <c r="D16">
        <f ca="1">IF($A16="","",COUNTIFS(tblDatasets[ESTADO],"ELIMINADO",tblDatasets[FECHA],"&gt;="&amp;$A16,tblDatasets[FECHA],"&lt;"&amp;($A16+1)))</f>
        <v>4</v>
      </c>
      <c r="E16">
        <f t="shared" ca="1" si="1"/>
        <v>5</v>
      </c>
      <c r="F16">
        <f ca="1">IF($A16="","",SUM($B$13:B16))</f>
        <v>52</v>
      </c>
      <c r="G16">
        <f ca="1">IF($A16="","",SUM($C$13:C16))</f>
        <v>281</v>
      </c>
      <c r="H16">
        <f ca="1">IF($A16="","",SUM($D$13:D16))</f>
        <v>72</v>
      </c>
      <c r="I16">
        <f ca="1">IF(A16="","",SUM($E$13:E16))</f>
        <v>405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8FE9-3658-4964-8144-CA399A347C33}">
  <dimension ref="B1:U102"/>
  <sheetViews>
    <sheetView workbookViewId="0">
      <pane ySplit="1" topLeftCell="A10" activePane="bottomLeft" state="frozen"/>
      <selection pane="bottomLeft" activeCell="G102" sqref="G1:G102"/>
    </sheetView>
  </sheetViews>
  <sheetFormatPr defaultRowHeight="12.75"/>
  <cols>
    <col min="2" max="2" width="31.42578125" customWidth="1"/>
    <col min="3" max="3" width="30.7109375" bestFit="1" customWidth="1"/>
    <col min="4" max="4" width="43.5703125" customWidth="1"/>
    <col min="5" max="5" width="57.5703125" bestFit="1" customWidth="1"/>
    <col min="6" max="6" width="37.5703125" bestFit="1" customWidth="1"/>
    <col min="7" max="7" width="57.5703125" bestFit="1" customWidth="1"/>
    <col min="8" max="8" width="36.7109375" customWidth="1"/>
    <col min="9" max="9" width="57.5703125" bestFit="1" customWidth="1"/>
    <col min="10" max="10" width="27.28515625" bestFit="1" customWidth="1"/>
    <col min="11" max="11" width="11.42578125" bestFit="1" customWidth="1"/>
    <col min="12" max="12" width="30.7109375" bestFit="1" customWidth="1"/>
    <col min="13" max="13" width="9.85546875" bestFit="1" customWidth="1"/>
  </cols>
  <sheetData>
    <row r="1" spans="2:18" ht="15">
      <c r="B1" s="10" t="s">
        <v>1260</v>
      </c>
      <c r="C1" s="10" t="s">
        <v>0</v>
      </c>
      <c r="D1" s="10" t="s">
        <v>2</v>
      </c>
      <c r="E1" t="s">
        <v>1261</v>
      </c>
      <c r="F1" t="s">
        <v>1262</v>
      </c>
      <c r="G1" t="s">
        <v>1263</v>
      </c>
      <c r="H1" t="s">
        <v>1264</v>
      </c>
      <c r="I1" t="s">
        <v>1265</v>
      </c>
      <c r="J1" t="s">
        <v>1266</v>
      </c>
      <c r="K1" t="s">
        <v>1267</v>
      </c>
      <c r="L1" t="s">
        <v>1268</v>
      </c>
      <c r="M1" t="s">
        <v>1269</v>
      </c>
    </row>
    <row r="2" spans="2:18" ht="24" hidden="1">
      <c r="B2" s="98"/>
      <c r="C2" s="98"/>
      <c r="D2" s="98"/>
      <c r="E2" s="98" t="s">
        <v>1270</v>
      </c>
      <c r="F2" s="98" t="s">
        <v>1271</v>
      </c>
      <c r="G2" s="108" t="s">
        <v>1270</v>
      </c>
      <c r="H2" s="114" t="s">
        <v>1272</v>
      </c>
      <c r="I2" s="108" t="s">
        <v>215</v>
      </c>
      <c r="J2" s="108"/>
      <c r="K2" t="s">
        <v>1273</v>
      </c>
      <c r="M2" s="131">
        <f>DATE(2026,10,8)</f>
        <v>46303</v>
      </c>
    </row>
    <row r="3" spans="2:18" hidden="1">
      <c r="B3" s="98"/>
      <c r="C3" s="98"/>
      <c r="D3" s="98"/>
      <c r="E3" s="98" t="s">
        <v>1274</v>
      </c>
      <c r="F3" s="98" t="s">
        <v>1275</v>
      </c>
      <c r="G3" s="108" t="s">
        <v>1274</v>
      </c>
      <c r="H3" s="109" t="s">
        <v>1276</v>
      </c>
      <c r="I3" s="108" t="s">
        <v>130</v>
      </c>
      <c r="J3" s="108"/>
      <c r="K3" t="s">
        <v>1273</v>
      </c>
      <c r="M3" s="131">
        <f>DATE(2026,10,8)</f>
        <v>46303</v>
      </c>
    </row>
    <row r="4" spans="2:18" ht="39.75" customHeight="1">
      <c r="B4" s="62" t="s">
        <v>392</v>
      </c>
      <c r="C4" s="62" t="s">
        <v>392</v>
      </c>
      <c r="D4" s="62" t="s">
        <v>393</v>
      </c>
      <c r="E4" s="91" t="s">
        <v>397</v>
      </c>
      <c r="F4" s="91" t="s">
        <v>396</v>
      </c>
      <c r="G4" s="61" t="s">
        <v>397</v>
      </c>
      <c r="H4" s="82" t="s">
        <v>1277</v>
      </c>
      <c r="I4" s="61" t="s">
        <v>397</v>
      </c>
      <c r="J4" s="61"/>
      <c r="K4" t="s">
        <v>1278</v>
      </c>
      <c r="L4" s="82" t="s">
        <v>1279</v>
      </c>
      <c r="R4" s="105" t="s">
        <v>1280</v>
      </c>
    </row>
    <row r="5" spans="2:18" hidden="1">
      <c r="B5" s="98"/>
      <c r="C5" s="98"/>
      <c r="D5" s="98"/>
      <c r="E5" s="98" t="s">
        <v>1281</v>
      </c>
      <c r="F5" s="98" t="s">
        <v>1282</v>
      </c>
      <c r="G5" s="108" t="s">
        <v>1281</v>
      </c>
      <c r="H5" s="109" t="s">
        <v>1283</v>
      </c>
      <c r="I5" s="108" t="s">
        <v>1284</v>
      </c>
      <c r="J5" s="108"/>
      <c r="K5" t="s">
        <v>1273</v>
      </c>
      <c r="M5" s="131">
        <f>DATE(2026,10,7)</f>
        <v>46302</v>
      </c>
    </row>
    <row r="6" spans="2:18" hidden="1">
      <c r="B6" s="98"/>
      <c r="C6" s="98"/>
      <c r="D6" s="98"/>
      <c r="E6" s="98" t="s">
        <v>1285</v>
      </c>
      <c r="F6" s="98" t="s">
        <v>1286</v>
      </c>
      <c r="G6" s="108" t="s">
        <v>1285</v>
      </c>
      <c r="H6" s="109" t="s">
        <v>1287</v>
      </c>
      <c r="I6" s="109" t="s">
        <v>1288</v>
      </c>
      <c r="J6" s="109"/>
      <c r="K6" t="s">
        <v>1273</v>
      </c>
      <c r="M6" s="131">
        <f t="shared" ref="M6:M7" si="0">DATE(2026,10,7)</f>
        <v>46302</v>
      </c>
    </row>
    <row r="7" spans="2:18" hidden="1">
      <c r="B7" s="98"/>
      <c r="C7" s="98"/>
      <c r="D7" s="98"/>
      <c r="E7" s="98" t="s">
        <v>1289</v>
      </c>
      <c r="F7" s="98" t="s">
        <v>1290</v>
      </c>
      <c r="G7" s="108" t="s">
        <v>1289</v>
      </c>
      <c r="H7" s="109" t="s">
        <v>1291</v>
      </c>
      <c r="I7" s="108" t="s">
        <v>1292</v>
      </c>
      <c r="J7" s="108"/>
      <c r="K7" t="s">
        <v>1273</v>
      </c>
      <c r="M7" s="131">
        <f t="shared" si="0"/>
        <v>46302</v>
      </c>
    </row>
    <row r="8" spans="2:18">
      <c r="B8" s="62" t="s">
        <v>379</v>
      </c>
      <c r="C8" s="62" t="s">
        <v>379</v>
      </c>
      <c r="D8" s="62" t="s">
        <v>1293</v>
      </c>
      <c r="E8" s="91" t="s">
        <v>383</v>
      </c>
      <c r="F8" s="91" t="s">
        <v>382</v>
      </c>
      <c r="G8" s="61" t="s">
        <v>383</v>
      </c>
      <c r="H8" s="82" t="s">
        <v>1294</v>
      </c>
      <c r="I8" s="61" t="s">
        <v>383</v>
      </c>
      <c r="J8" s="61"/>
      <c r="K8" t="s">
        <v>1278</v>
      </c>
      <c r="R8" s="61"/>
    </row>
    <row r="9" spans="2:18">
      <c r="B9" s="62" t="s">
        <v>29</v>
      </c>
      <c r="C9" s="62" t="s">
        <v>48</v>
      </c>
      <c r="D9" s="62" t="s">
        <v>49</v>
      </c>
      <c r="E9" s="91" t="s">
        <v>53</v>
      </c>
      <c r="F9" s="91" t="s">
        <v>52</v>
      </c>
      <c r="G9" s="61" t="s">
        <v>53</v>
      </c>
      <c r="H9" s="82" t="s">
        <v>1295</v>
      </c>
      <c r="I9" s="61" t="s">
        <v>53</v>
      </c>
      <c r="J9" s="61"/>
      <c r="K9" t="s">
        <v>1278</v>
      </c>
      <c r="R9" s="61"/>
    </row>
    <row r="10" spans="2:18" hidden="1">
      <c r="B10" s="140"/>
      <c r="C10" s="140"/>
      <c r="D10" s="140"/>
      <c r="E10" s="140" t="s">
        <v>1296</v>
      </c>
      <c r="F10" s="140" t="s">
        <v>1297</v>
      </c>
      <c r="G10" s="141" t="s">
        <v>1296</v>
      </c>
      <c r="H10" s="140" t="s">
        <v>1298</v>
      </c>
      <c r="I10" s="141" t="s">
        <v>1296</v>
      </c>
      <c r="J10" s="141"/>
      <c r="K10" t="s">
        <v>1299</v>
      </c>
    </row>
    <row r="11" spans="2:18" ht="24" hidden="1">
      <c r="B11" s="98"/>
      <c r="C11" s="98"/>
      <c r="D11" s="98"/>
      <c r="E11" s="98" t="s">
        <v>1300</v>
      </c>
      <c r="F11" s="98" t="s">
        <v>1301</v>
      </c>
      <c r="G11" s="108" t="s">
        <v>1300</v>
      </c>
      <c r="H11" s="109" t="s">
        <v>1302</v>
      </c>
      <c r="I11" s="112" t="s">
        <v>1303</v>
      </c>
      <c r="J11" s="112"/>
      <c r="K11" t="s">
        <v>1273</v>
      </c>
      <c r="M11" s="131">
        <f>DATE(2026,10,7)</f>
        <v>46302</v>
      </c>
    </row>
    <row r="12" spans="2:18" hidden="1">
      <c r="B12" s="98"/>
      <c r="C12" s="98"/>
      <c r="D12" s="98"/>
      <c r="E12" s="98" t="s">
        <v>1304</v>
      </c>
      <c r="F12" s="98" t="s">
        <v>1305</v>
      </c>
      <c r="G12" s="108" t="s">
        <v>1306</v>
      </c>
      <c r="H12" s="109" t="s">
        <v>1287</v>
      </c>
      <c r="I12" s="109" t="s">
        <v>1288</v>
      </c>
      <c r="J12" s="109"/>
      <c r="K12" t="s">
        <v>1273</v>
      </c>
      <c r="M12" s="131">
        <f>DATE(2026,10,8)</f>
        <v>46303</v>
      </c>
    </row>
    <row r="13" spans="2:18" ht="24" hidden="1">
      <c r="B13" s="98"/>
      <c r="C13" s="98"/>
      <c r="D13" s="98"/>
      <c r="E13" s="98" t="s">
        <v>1307</v>
      </c>
      <c r="F13" s="113" t="s">
        <v>1308</v>
      </c>
      <c r="G13" s="108" t="s">
        <v>1307</v>
      </c>
      <c r="H13" s="114" t="s">
        <v>1309</v>
      </c>
      <c r="I13" s="108" t="s">
        <v>1307</v>
      </c>
      <c r="J13" s="108"/>
      <c r="K13" t="s">
        <v>1273</v>
      </c>
      <c r="L13" t="s">
        <v>1310</v>
      </c>
      <c r="M13" s="131">
        <f t="shared" ref="M13:M15" si="1">DATE(2026,10,7)</f>
        <v>46302</v>
      </c>
    </row>
    <row r="14" spans="2:18" ht="24" hidden="1">
      <c r="B14" s="98"/>
      <c r="C14" s="98"/>
      <c r="D14" s="98"/>
      <c r="E14" s="98" t="s">
        <v>453</v>
      </c>
      <c r="F14" s="98" t="s">
        <v>452</v>
      </c>
      <c r="G14" s="108" t="s">
        <v>1311</v>
      </c>
      <c r="H14" s="114" t="s">
        <v>1312</v>
      </c>
      <c r="I14" s="108" t="s">
        <v>206</v>
      </c>
      <c r="J14" s="108"/>
      <c r="K14" t="s">
        <v>1273</v>
      </c>
      <c r="M14" s="131">
        <f t="shared" si="1"/>
        <v>46302</v>
      </c>
    </row>
    <row r="15" spans="2:18" hidden="1">
      <c r="B15" s="98"/>
      <c r="C15" s="98"/>
      <c r="D15" s="98"/>
      <c r="E15" s="98" t="s">
        <v>1313</v>
      </c>
      <c r="F15" s="98" t="s">
        <v>1314</v>
      </c>
      <c r="G15" s="108" t="s">
        <v>1315</v>
      </c>
      <c r="H15" s="109" t="s">
        <v>1288</v>
      </c>
      <c r="I15" s="109" t="s">
        <v>1288</v>
      </c>
      <c r="J15" s="109"/>
      <c r="K15" t="s">
        <v>1273</v>
      </c>
      <c r="M15" s="131">
        <f t="shared" si="1"/>
        <v>46302</v>
      </c>
    </row>
    <row r="16" spans="2:18" ht="15">
      <c r="B16" s="62" t="s">
        <v>201</v>
      </c>
      <c r="C16" s="63" t="s">
        <v>200</v>
      </c>
      <c r="D16" s="62" t="s">
        <v>202</v>
      </c>
      <c r="E16" s="91" t="s">
        <v>206</v>
      </c>
      <c r="F16" s="91" t="s">
        <v>205</v>
      </c>
      <c r="G16" s="61" t="s">
        <v>1316</v>
      </c>
      <c r="H16" s="127" t="s">
        <v>1317</v>
      </c>
      <c r="I16" s="61" t="s">
        <v>206</v>
      </c>
      <c r="J16" s="61"/>
      <c r="K16" t="s">
        <v>1278</v>
      </c>
    </row>
    <row r="17" spans="2:13" hidden="1">
      <c r="B17" s="98"/>
      <c r="C17" s="98"/>
      <c r="D17" s="98"/>
      <c r="E17" s="98" t="s">
        <v>1318</v>
      </c>
      <c r="F17" s="98" t="s">
        <v>1319</v>
      </c>
      <c r="G17" s="108" t="s">
        <v>1320</v>
      </c>
      <c r="H17" s="109" t="s">
        <v>1288</v>
      </c>
      <c r="I17" s="109" t="s">
        <v>1288</v>
      </c>
      <c r="J17" s="109"/>
      <c r="K17" t="s">
        <v>1273</v>
      </c>
      <c r="M17" s="131">
        <f t="shared" ref="M17:M18" si="2">DATE(2026,10,7)</f>
        <v>46302</v>
      </c>
    </row>
    <row r="18" spans="2:13" ht="24" hidden="1">
      <c r="B18" s="98"/>
      <c r="C18" s="98"/>
      <c r="D18" s="98"/>
      <c r="E18" s="98" t="s">
        <v>1321</v>
      </c>
      <c r="F18" s="98" t="s">
        <v>1322</v>
      </c>
      <c r="G18" s="108" t="s">
        <v>1321</v>
      </c>
      <c r="H18" s="114" t="s">
        <v>1323</v>
      </c>
      <c r="I18" s="109" t="s">
        <v>1288</v>
      </c>
      <c r="J18" s="109"/>
      <c r="K18" t="s">
        <v>1273</v>
      </c>
      <c r="M18" s="131">
        <f t="shared" si="2"/>
        <v>46302</v>
      </c>
    </row>
    <row r="19" spans="2:13" ht="24">
      <c r="B19" s="62" t="s">
        <v>400</v>
      </c>
      <c r="C19" s="62" t="s">
        <v>425</v>
      </c>
      <c r="D19" s="62" t="s">
        <v>426</v>
      </c>
      <c r="E19" s="91" t="s">
        <v>430</v>
      </c>
      <c r="F19" s="91" t="s">
        <v>429</v>
      </c>
      <c r="G19" s="61" t="s">
        <v>430</v>
      </c>
      <c r="H19" s="99" t="s">
        <v>1324</v>
      </c>
      <c r="I19" s="61" t="s">
        <v>431</v>
      </c>
      <c r="J19" s="61"/>
      <c r="K19" t="s">
        <v>1278</v>
      </c>
    </row>
    <row r="20" spans="2:13" ht="24" hidden="1">
      <c r="B20" s="98"/>
      <c r="C20" s="98"/>
      <c r="D20" s="98"/>
      <c r="E20" s="98" t="s">
        <v>1325</v>
      </c>
      <c r="F20" s="98" t="s">
        <v>1326</v>
      </c>
      <c r="G20" s="108" t="s">
        <v>1325</v>
      </c>
      <c r="H20" s="114" t="s">
        <v>1327</v>
      </c>
      <c r="I20" s="108" t="s">
        <v>1328</v>
      </c>
      <c r="J20" s="108"/>
      <c r="K20" t="s">
        <v>1273</v>
      </c>
      <c r="M20" s="131">
        <f t="shared" ref="M20:M23" si="3">DATE(2026,10,7)</f>
        <v>46302</v>
      </c>
    </row>
    <row r="21" spans="2:13" ht="24" hidden="1">
      <c r="B21" s="98"/>
      <c r="C21" s="98"/>
      <c r="D21" s="98"/>
      <c r="E21" s="98" t="s">
        <v>1292</v>
      </c>
      <c r="F21" s="113" t="s">
        <v>1329</v>
      </c>
      <c r="G21" s="108" t="s">
        <v>1292</v>
      </c>
      <c r="H21" s="109" t="s">
        <v>1330</v>
      </c>
      <c r="I21" s="112" t="s">
        <v>1331</v>
      </c>
      <c r="J21" s="112"/>
      <c r="K21" t="s">
        <v>1273</v>
      </c>
      <c r="M21" s="131">
        <f t="shared" si="3"/>
        <v>46302</v>
      </c>
    </row>
    <row r="22" spans="2:13" hidden="1">
      <c r="B22" s="98"/>
      <c r="C22" s="98"/>
      <c r="D22" s="98"/>
      <c r="E22" s="98" t="s">
        <v>1332</v>
      </c>
      <c r="F22" s="98" t="s">
        <v>1333</v>
      </c>
      <c r="G22" s="108" t="s">
        <v>1332</v>
      </c>
      <c r="H22" s="109" t="s">
        <v>1334</v>
      </c>
      <c r="I22" s="108" t="s">
        <v>1335</v>
      </c>
      <c r="J22" s="108"/>
      <c r="K22" t="s">
        <v>1273</v>
      </c>
      <c r="M22" s="131">
        <f t="shared" si="3"/>
        <v>46302</v>
      </c>
    </row>
    <row r="23" spans="2:13" hidden="1">
      <c r="B23" s="98"/>
      <c r="C23" s="98"/>
      <c r="D23" s="98"/>
      <c r="E23" s="98" t="s">
        <v>1336</v>
      </c>
      <c r="F23" s="98" t="s">
        <v>1337</v>
      </c>
      <c r="G23" s="108" t="s">
        <v>1336</v>
      </c>
      <c r="H23" s="109" t="s">
        <v>1338</v>
      </c>
      <c r="I23" s="108" t="s">
        <v>1339</v>
      </c>
      <c r="J23" s="108"/>
      <c r="K23" t="s">
        <v>1273</v>
      </c>
      <c r="M23" s="131">
        <f t="shared" si="3"/>
        <v>46302</v>
      </c>
    </row>
    <row r="24" spans="2:13">
      <c r="B24" s="62" t="s">
        <v>400</v>
      </c>
      <c r="C24" s="62" t="s">
        <v>418</v>
      </c>
      <c r="D24" s="62" t="s">
        <v>419</v>
      </c>
      <c r="E24" s="91" t="s">
        <v>418</v>
      </c>
      <c r="F24" s="91" t="s">
        <v>422</v>
      </c>
      <c r="G24" s="61" t="s">
        <v>418</v>
      </c>
      <c r="H24" s="82" t="s">
        <v>1340</v>
      </c>
      <c r="I24" s="61" t="s">
        <v>423</v>
      </c>
      <c r="J24" s="61"/>
      <c r="K24" t="s">
        <v>1278</v>
      </c>
    </row>
    <row r="25" spans="2:13" hidden="1">
      <c r="B25" s="98"/>
      <c r="C25" s="98"/>
      <c r="D25" s="98"/>
      <c r="E25" s="98" t="s">
        <v>1341</v>
      </c>
      <c r="F25" s="98" t="s">
        <v>1342</v>
      </c>
      <c r="G25" s="108" t="s">
        <v>1341</v>
      </c>
      <c r="H25" s="109" t="s">
        <v>1343</v>
      </c>
      <c r="I25" s="108" t="s">
        <v>304</v>
      </c>
      <c r="J25" s="108"/>
      <c r="K25" t="s">
        <v>1273</v>
      </c>
      <c r="M25" s="131">
        <f>DATE(2026,10,7)</f>
        <v>46302</v>
      </c>
    </row>
    <row r="26" spans="2:13" ht="24">
      <c r="B26" s="89"/>
      <c r="C26" s="89"/>
      <c r="D26" s="89"/>
      <c r="E26" s="89" t="s">
        <v>1344</v>
      </c>
      <c r="F26" s="89" t="s">
        <v>1345</v>
      </c>
      <c r="G26" s="118" t="s">
        <v>1344</v>
      </c>
      <c r="H26" s="89" t="s">
        <v>1346</v>
      </c>
      <c r="I26" s="163" t="s">
        <v>831</v>
      </c>
      <c r="J26" s="163"/>
      <c r="K26" t="s">
        <v>1278</v>
      </c>
    </row>
    <row r="27" spans="2:13" ht="24">
      <c r="B27" s="62" t="s">
        <v>209</v>
      </c>
      <c r="C27" s="62" t="s">
        <v>255</v>
      </c>
      <c r="D27" s="62" t="s">
        <v>256</v>
      </c>
      <c r="E27" s="91" t="s">
        <v>260</v>
      </c>
      <c r="F27" s="91" t="s">
        <v>259</v>
      </c>
      <c r="G27" s="61" t="s">
        <v>260</v>
      </c>
      <c r="H27" s="82" t="s">
        <v>1347</v>
      </c>
      <c r="I27" s="120" t="s">
        <v>1348</v>
      </c>
      <c r="J27" s="105"/>
      <c r="K27" t="s">
        <v>1278</v>
      </c>
    </row>
    <row r="28" spans="2:13">
      <c r="B28" s="62" t="s">
        <v>29</v>
      </c>
      <c r="C28" s="62" t="s">
        <v>40</v>
      </c>
      <c r="D28" s="62" t="s">
        <v>41</v>
      </c>
      <c r="E28" s="91" t="s">
        <v>35</v>
      </c>
      <c r="F28" s="91" t="s">
        <v>44</v>
      </c>
      <c r="G28" s="61" t="s">
        <v>35</v>
      </c>
      <c r="H28" s="123" t="s">
        <v>1349</v>
      </c>
      <c r="I28" s="61" t="s">
        <v>35</v>
      </c>
      <c r="J28" s="61"/>
      <c r="K28" t="s">
        <v>1278</v>
      </c>
    </row>
    <row r="29" spans="2:13">
      <c r="B29" t="s">
        <v>115</v>
      </c>
      <c r="C29" t="s">
        <v>125</v>
      </c>
      <c r="D29" t="s">
        <v>126</v>
      </c>
      <c r="E29" s="89" t="s">
        <v>130</v>
      </c>
      <c r="F29" s="89" t="s">
        <v>129</v>
      </c>
      <c r="G29" s="96" t="s">
        <v>130</v>
      </c>
      <c r="H29" s="82" t="s">
        <v>1350</v>
      </c>
      <c r="I29" s="61" t="s">
        <v>130</v>
      </c>
      <c r="J29" s="61"/>
      <c r="K29" t="s">
        <v>1278</v>
      </c>
    </row>
    <row r="30" spans="2:13" ht="30">
      <c r="B30" s="4" t="s">
        <v>209</v>
      </c>
      <c r="C30" s="4" t="s">
        <v>240</v>
      </c>
      <c r="D30" s="4" t="s">
        <v>241</v>
      </c>
      <c r="E30" s="91" t="s">
        <v>245</v>
      </c>
      <c r="F30" s="91" t="s">
        <v>244</v>
      </c>
      <c r="G30" s="61" t="s">
        <v>245</v>
      </c>
      <c r="H30" s="82" t="s">
        <v>1351</v>
      </c>
      <c r="I30" s="61" t="s">
        <v>245</v>
      </c>
      <c r="J30" s="61"/>
      <c r="K30" t="s">
        <v>1278</v>
      </c>
    </row>
    <row r="31" spans="2:13" hidden="1">
      <c r="B31" s="98"/>
      <c r="C31" s="98"/>
      <c r="D31" s="98"/>
      <c r="E31" s="98" t="s">
        <v>325</v>
      </c>
      <c r="F31" s="98" t="s">
        <v>1352</v>
      </c>
      <c r="G31" s="108" t="s">
        <v>325</v>
      </c>
      <c r="H31" s="109" t="s">
        <v>1353</v>
      </c>
      <c r="I31" s="108" t="s">
        <v>325</v>
      </c>
      <c r="J31" s="108"/>
      <c r="K31" t="s">
        <v>1273</v>
      </c>
      <c r="M31" s="131">
        <f>DATE(2026,10,7)</f>
        <v>46302</v>
      </c>
    </row>
    <row r="32" spans="2:13" ht="30">
      <c r="B32" s="4" t="s">
        <v>29</v>
      </c>
      <c r="C32" s="4" t="s">
        <v>68</v>
      </c>
      <c r="D32" s="4" t="s">
        <v>69</v>
      </c>
      <c r="E32" s="91" t="s">
        <v>73</v>
      </c>
      <c r="F32" s="91" t="s">
        <v>72</v>
      </c>
      <c r="G32" s="61" t="s">
        <v>73</v>
      </c>
      <c r="H32" s="82" t="s">
        <v>1354</v>
      </c>
      <c r="I32" s="105" t="s">
        <v>1355</v>
      </c>
      <c r="J32" s="105"/>
      <c r="K32" t="s">
        <v>1278</v>
      </c>
    </row>
    <row r="33" spans="2:13" ht="30">
      <c r="B33" s="4" t="s">
        <v>400</v>
      </c>
      <c r="C33" s="4" t="s">
        <v>409</v>
      </c>
      <c r="D33" s="4" t="s">
        <v>410</v>
      </c>
      <c r="E33" s="94" t="s">
        <v>414</v>
      </c>
      <c r="F33" s="91" t="s">
        <v>1356</v>
      </c>
      <c r="G33" s="61" t="s">
        <v>414</v>
      </c>
      <c r="H33" s="82" t="s">
        <v>1357</v>
      </c>
      <c r="I33" s="61" t="s">
        <v>415</v>
      </c>
      <c r="J33" s="61"/>
      <c r="K33" t="s">
        <v>1278</v>
      </c>
    </row>
    <row r="34" spans="2:13" hidden="1">
      <c r="B34" s="98"/>
      <c r="C34" s="98"/>
      <c r="D34" s="98"/>
      <c r="E34" s="98" t="s">
        <v>1281</v>
      </c>
      <c r="F34" s="98" t="s">
        <v>1358</v>
      </c>
      <c r="G34" s="108" t="s">
        <v>1281</v>
      </c>
      <c r="H34" s="109" t="s">
        <v>1359</v>
      </c>
      <c r="I34" s="108" t="s">
        <v>1360</v>
      </c>
      <c r="J34" s="108"/>
      <c r="K34" t="s">
        <v>1273</v>
      </c>
      <c r="M34" s="131">
        <f>DATE(2026,10,7)</f>
        <v>46302</v>
      </c>
    </row>
    <row r="35" spans="2:13" ht="45.75">
      <c r="B35" s="4" t="s">
        <v>209</v>
      </c>
      <c r="C35" s="4" t="s">
        <v>218</v>
      </c>
      <c r="D35" s="4" t="s">
        <v>219</v>
      </c>
      <c r="E35" s="91" t="s">
        <v>223</v>
      </c>
      <c r="F35" s="91" t="s">
        <v>222</v>
      </c>
      <c r="G35" s="61" t="s">
        <v>223</v>
      </c>
      <c r="H35" s="124" t="s">
        <v>1361</v>
      </c>
      <c r="I35" s="105" t="s">
        <v>831</v>
      </c>
      <c r="J35" s="105"/>
      <c r="K35" t="s">
        <v>1278</v>
      </c>
    </row>
    <row r="36" spans="2:13" hidden="1">
      <c r="B36" s="110"/>
      <c r="C36" s="110"/>
      <c r="D36" s="110"/>
      <c r="E36" s="110" t="s">
        <v>1362</v>
      </c>
      <c r="F36" s="110" t="s">
        <v>1363</v>
      </c>
      <c r="G36" s="111" t="s">
        <v>1362</v>
      </c>
      <c r="H36" s="110" t="s">
        <v>1349</v>
      </c>
      <c r="I36" s="111" t="s">
        <v>35</v>
      </c>
      <c r="J36" s="111"/>
      <c r="K36" t="s">
        <v>1273</v>
      </c>
      <c r="M36" s="131">
        <f>DATE(2026,10,9)</f>
        <v>46304</v>
      </c>
    </row>
    <row r="37" spans="2:13" hidden="1">
      <c r="B37" s="98"/>
      <c r="C37" s="98"/>
      <c r="D37" s="98"/>
      <c r="E37" s="98" t="s">
        <v>1364</v>
      </c>
      <c r="F37" s="98" t="s">
        <v>1365</v>
      </c>
      <c r="G37" s="108" t="s">
        <v>1364</v>
      </c>
      <c r="H37" s="109" t="s">
        <v>1366</v>
      </c>
      <c r="I37" s="109" t="s">
        <v>1288</v>
      </c>
      <c r="J37" s="109"/>
      <c r="K37" t="s">
        <v>1273</v>
      </c>
      <c r="M37" s="131">
        <f t="shared" ref="M36:M40" si="4">DATE(2026,10,7)</f>
        <v>46302</v>
      </c>
    </row>
    <row r="38" spans="2:13" hidden="1">
      <c r="B38" s="98"/>
      <c r="C38" s="98"/>
      <c r="D38" s="98"/>
      <c r="E38" s="98" t="s">
        <v>1367</v>
      </c>
      <c r="F38" s="98" t="s">
        <v>1368</v>
      </c>
      <c r="G38" s="108" t="s">
        <v>1367</v>
      </c>
      <c r="H38" s="109" t="s">
        <v>1369</v>
      </c>
      <c r="I38" s="108" t="s">
        <v>1370</v>
      </c>
      <c r="J38" s="108"/>
      <c r="K38" t="s">
        <v>1273</v>
      </c>
      <c r="M38" s="131">
        <f t="shared" si="4"/>
        <v>46302</v>
      </c>
    </row>
    <row r="39" spans="2:13" hidden="1">
      <c r="B39" s="98"/>
      <c r="C39" s="98"/>
      <c r="D39" s="98"/>
      <c r="E39" s="98" t="s">
        <v>1371</v>
      </c>
      <c r="F39" s="98" t="s">
        <v>1372</v>
      </c>
      <c r="G39" s="108" t="s">
        <v>1371</v>
      </c>
      <c r="H39" s="109" t="s">
        <v>1287</v>
      </c>
      <c r="I39" s="109" t="s">
        <v>1288</v>
      </c>
      <c r="J39" s="109"/>
      <c r="K39" t="s">
        <v>1273</v>
      </c>
      <c r="M39" s="131">
        <f t="shared" si="4"/>
        <v>46302</v>
      </c>
    </row>
    <row r="40" spans="2:13" ht="24" hidden="1">
      <c r="B40" s="98"/>
      <c r="C40" s="98"/>
      <c r="D40" s="98"/>
      <c r="E40" s="98" t="s">
        <v>1373</v>
      </c>
      <c r="F40" s="98" t="s">
        <v>1374</v>
      </c>
      <c r="G40" s="108" t="s">
        <v>1373</v>
      </c>
      <c r="H40" s="114" t="s">
        <v>1375</v>
      </c>
      <c r="I40" s="108" t="s">
        <v>1376</v>
      </c>
      <c r="J40" s="108" t="s">
        <v>1377</v>
      </c>
      <c r="K40" t="s">
        <v>1273</v>
      </c>
      <c r="M40" s="131">
        <f t="shared" si="4"/>
        <v>46302</v>
      </c>
    </row>
    <row r="41" spans="2:13" ht="30">
      <c r="B41" s="4" t="s">
        <v>209</v>
      </c>
      <c r="C41" s="4" t="s">
        <v>265</v>
      </c>
      <c r="D41" s="4" t="s">
        <v>266</v>
      </c>
      <c r="E41" s="91" t="s">
        <v>270</v>
      </c>
      <c r="F41" s="91" t="s">
        <v>269</v>
      </c>
      <c r="G41" s="61" t="s">
        <v>270</v>
      </c>
      <c r="H41" s="82" t="s">
        <v>1378</v>
      </c>
      <c r="I41" s="61" t="s">
        <v>270</v>
      </c>
      <c r="J41" s="61"/>
      <c r="K41" t="s">
        <v>1278</v>
      </c>
    </row>
    <row r="42" spans="2:13" ht="30">
      <c r="B42" s="4" t="s">
        <v>298</v>
      </c>
      <c r="C42" s="4" t="s">
        <v>297</v>
      </c>
      <c r="D42" s="4" t="s">
        <v>299</v>
      </c>
      <c r="E42" s="91" t="s">
        <v>303</v>
      </c>
      <c r="F42" s="91" t="s">
        <v>302</v>
      </c>
      <c r="G42" s="115" t="s">
        <v>303</v>
      </c>
      <c r="H42" s="126" t="s">
        <v>1343</v>
      </c>
      <c r="I42" s="61" t="s">
        <v>304</v>
      </c>
      <c r="J42" s="61"/>
      <c r="K42" t="s">
        <v>1278</v>
      </c>
    </row>
    <row r="43" spans="2:13" hidden="1">
      <c r="B43" s="98"/>
      <c r="C43" s="98"/>
      <c r="D43" s="98"/>
      <c r="E43" s="98" t="s">
        <v>1379</v>
      </c>
      <c r="F43" s="98" t="s">
        <v>1380</v>
      </c>
      <c r="G43" s="108" t="s">
        <v>1379</v>
      </c>
      <c r="H43" s="109" t="s">
        <v>1288</v>
      </c>
      <c r="I43" s="109" t="s">
        <v>1288</v>
      </c>
      <c r="J43" s="109"/>
      <c r="K43" t="s">
        <v>1273</v>
      </c>
      <c r="M43" s="131">
        <f>DATE(2026,10,7)</f>
        <v>46302</v>
      </c>
    </row>
    <row r="44" spans="2:13" ht="30">
      <c r="B44" s="4" t="s">
        <v>29</v>
      </c>
      <c r="C44" s="4" t="s">
        <v>28</v>
      </c>
      <c r="D44" s="4" t="s">
        <v>30</v>
      </c>
      <c r="E44" s="91" t="s">
        <v>34</v>
      </c>
      <c r="F44" s="91" t="s">
        <v>33</v>
      </c>
      <c r="G44" s="61" t="s">
        <v>34</v>
      </c>
      <c r="H44" s="123" t="s">
        <v>1381</v>
      </c>
      <c r="I44" s="61" t="s">
        <v>35</v>
      </c>
      <c r="J44" s="61"/>
      <c r="K44" t="s">
        <v>1278</v>
      </c>
    </row>
    <row r="45" spans="2:13" hidden="1">
      <c r="B45" s="140"/>
      <c r="C45" s="140" t="s">
        <v>444</v>
      </c>
      <c r="D45" s="140" t="s">
        <v>446</v>
      </c>
      <c r="E45" s="140" t="s">
        <v>1382</v>
      </c>
      <c r="F45" s="140" t="s">
        <v>447</v>
      </c>
      <c r="G45" s="141" t="s">
        <v>1382</v>
      </c>
      <c r="H45" s="140" t="s">
        <v>1383</v>
      </c>
      <c r="I45" s="141" t="s">
        <v>1382</v>
      </c>
      <c r="J45" s="141" t="s">
        <v>1384</v>
      </c>
      <c r="K45" t="s">
        <v>1299</v>
      </c>
    </row>
    <row r="46" spans="2:13" ht="30">
      <c r="B46" s="4" t="s">
        <v>298</v>
      </c>
      <c r="C46" s="4" t="s">
        <v>337</v>
      </c>
      <c r="D46" s="4" t="s">
        <v>338</v>
      </c>
      <c r="E46" s="91" t="s">
        <v>342</v>
      </c>
      <c r="F46" s="91" t="s">
        <v>341</v>
      </c>
      <c r="G46" s="61" t="s">
        <v>342</v>
      </c>
      <c r="H46" s="82" t="s">
        <v>1385</v>
      </c>
      <c r="I46" s="61" t="s">
        <v>342</v>
      </c>
      <c r="J46" s="61"/>
      <c r="K46" t="s">
        <v>1278</v>
      </c>
    </row>
    <row r="47" spans="2:13" hidden="1">
      <c r="B47" s="98"/>
      <c r="C47" s="98"/>
      <c r="D47" s="98"/>
      <c r="E47" s="98" t="s">
        <v>1386</v>
      </c>
      <c r="F47" s="98" t="s">
        <v>1387</v>
      </c>
      <c r="G47" s="108" t="s">
        <v>1386</v>
      </c>
      <c r="H47" s="109" t="s">
        <v>1291</v>
      </c>
      <c r="I47" s="108" t="s">
        <v>1292</v>
      </c>
      <c r="J47" s="108"/>
      <c r="K47" t="s">
        <v>1273</v>
      </c>
      <c r="M47" s="131">
        <f>DATE(2026,10,7)</f>
        <v>46302</v>
      </c>
    </row>
    <row r="48" spans="2:13" ht="30">
      <c r="B48" s="4" t="s">
        <v>29</v>
      </c>
      <c r="C48" s="4" t="s">
        <v>78</v>
      </c>
      <c r="D48" s="4" t="s">
        <v>79</v>
      </c>
      <c r="E48" s="91" t="s">
        <v>83</v>
      </c>
      <c r="F48" s="91" t="s">
        <v>82</v>
      </c>
      <c r="G48" s="61" t="s">
        <v>83</v>
      </c>
      <c r="H48" s="82" t="s">
        <v>1388</v>
      </c>
      <c r="I48" s="61" t="s">
        <v>83</v>
      </c>
      <c r="J48" s="61"/>
      <c r="K48" t="s">
        <v>1278</v>
      </c>
    </row>
    <row r="49" spans="2:13" hidden="1">
      <c r="B49" s="98"/>
      <c r="C49" s="98"/>
      <c r="D49" s="98"/>
      <c r="E49" s="98" t="s">
        <v>1389</v>
      </c>
      <c r="F49" s="98" t="s">
        <v>1390</v>
      </c>
      <c r="G49" s="108" t="s">
        <v>1389</v>
      </c>
      <c r="H49" s="109" t="s">
        <v>1288</v>
      </c>
      <c r="I49" s="109" t="s">
        <v>1288</v>
      </c>
      <c r="J49" s="109" t="s">
        <v>1391</v>
      </c>
      <c r="K49" t="s">
        <v>1273</v>
      </c>
      <c r="M49" s="131">
        <f>DATE(2026,10,7)</f>
        <v>46302</v>
      </c>
    </row>
    <row r="50" spans="2:13" ht="30">
      <c r="B50" s="54" t="s">
        <v>385</v>
      </c>
      <c r="C50" s="54" t="s">
        <v>385</v>
      </c>
      <c r="D50" s="54" t="s">
        <v>386</v>
      </c>
      <c r="E50" s="89" t="s">
        <v>390</v>
      </c>
      <c r="F50" s="89" t="s">
        <v>389</v>
      </c>
      <c r="G50" s="66" t="s">
        <v>390</v>
      </c>
      <c r="H50" s="100" t="s">
        <v>1392</v>
      </c>
      <c r="I50" s="61" t="s">
        <v>390</v>
      </c>
      <c r="J50" s="61"/>
      <c r="K50" t="s">
        <v>1278</v>
      </c>
    </row>
    <row r="51" spans="2:13">
      <c r="B51" s="138"/>
      <c r="C51" s="138"/>
      <c r="D51" s="138"/>
      <c r="E51" s="89" t="s">
        <v>414</v>
      </c>
      <c r="F51" s="89" t="s">
        <v>1356</v>
      </c>
      <c r="G51" s="118" t="s">
        <v>414</v>
      </c>
      <c r="H51" s="89" t="s">
        <v>1393</v>
      </c>
      <c r="I51" s="118" t="s">
        <v>415</v>
      </c>
      <c r="J51" s="118"/>
      <c r="K51" t="s">
        <v>1278</v>
      </c>
    </row>
    <row r="52" spans="2:13" ht="60.75">
      <c r="B52" s="4" t="s">
        <v>170</v>
      </c>
      <c r="C52" s="4" t="s">
        <v>169</v>
      </c>
      <c r="D52" s="4" t="s">
        <v>171</v>
      </c>
      <c r="E52" s="91" t="s">
        <v>175</v>
      </c>
      <c r="F52" s="91" t="s">
        <v>174</v>
      </c>
      <c r="G52" s="61" t="s">
        <v>175</v>
      </c>
      <c r="H52" s="82" t="s">
        <v>1394</v>
      </c>
      <c r="I52" s="61" t="s">
        <v>175</v>
      </c>
      <c r="J52" s="61"/>
      <c r="K52" t="s">
        <v>1278</v>
      </c>
    </row>
    <row r="53" spans="2:13">
      <c r="B53" t="s">
        <v>13</v>
      </c>
      <c r="C53" t="s">
        <v>12</v>
      </c>
      <c r="D53" t="s">
        <v>14</v>
      </c>
      <c r="E53" s="89" t="s">
        <v>18</v>
      </c>
      <c r="F53" s="89" t="s">
        <v>17</v>
      </c>
      <c r="G53" s="61" t="s">
        <v>18</v>
      </c>
      <c r="H53" s="82" t="s">
        <v>1395</v>
      </c>
      <c r="I53" s="61" t="s">
        <v>19</v>
      </c>
      <c r="J53" s="61"/>
      <c r="K53" t="s">
        <v>1278</v>
      </c>
    </row>
    <row r="54" spans="2:13" hidden="1">
      <c r="B54" s="98"/>
      <c r="C54" s="98"/>
      <c r="D54" s="98"/>
      <c r="E54" s="98" t="s">
        <v>1396</v>
      </c>
      <c r="F54" s="98" t="s">
        <v>1397</v>
      </c>
      <c r="G54" s="108" t="s">
        <v>1396</v>
      </c>
      <c r="H54" s="109" t="s">
        <v>1398</v>
      </c>
      <c r="I54" s="108" t="s">
        <v>1399</v>
      </c>
      <c r="J54" s="108"/>
      <c r="K54" t="s">
        <v>1273</v>
      </c>
      <c r="M54" s="131">
        <f t="shared" ref="M54:M55" si="5">DATE(2026,10,7)</f>
        <v>46302</v>
      </c>
    </row>
    <row r="55" spans="2:13" hidden="1">
      <c r="B55" s="98"/>
      <c r="C55" s="98"/>
      <c r="D55" s="98"/>
      <c r="E55" s="98" t="s">
        <v>1400</v>
      </c>
      <c r="F55" s="98" t="s">
        <v>1401</v>
      </c>
      <c r="G55" s="108" t="s">
        <v>1400</v>
      </c>
      <c r="H55" s="109" t="s">
        <v>1288</v>
      </c>
      <c r="I55" s="109" t="s">
        <v>1288</v>
      </c>
      <c r="J55" s="109"/>
      <c r="K55" t="s">
        <v>1273</v>
      </c>
      <c r="M55" s="131">
        <f t="shared" si="5"/>
        <v>46302</v>
      </c>
    </row>
    <row r="56" spans="2:13">
      <c r="B56" t="s">
        <v>13</v>
      </c>
      <c r="C56" t="s">
        <v>21</v>
      </c>
      <c r="D56" t="s">
        <v>22</v>
      </c>
      <c r="E56" s="89" t="s">
        <v>26</v>
      </c>
      <c r="F56" s="89" t="s">
        <v>25</v>
      </c>
      <c r="G56" s="61" t="s">
        <v>26</v>
      </c>
      <c r="H56" s="82" t="s">
        <v>1402</v>
      </c>
      <c r="I56" s="61" t="s">
        <v>1403</v>
      </c>
      <c r="J56" s="61"/>
      <c r="K56" t="s">
        <v>1278</v>
      </c>
    </row>
    <row r="57" spans="2:13" ht="45.75">
      <c r="B57" s="4" t="s">
        <v>183</v>
      </c>
      <c r="C57" s="4" t="s">
        <v>192</v>
      </c>
      <c r="D57" s="4" t="s">
        <v>193</v>
      </c>
      <c r="E57" s="91" t="s">
        <v>197</v>
      </c>
      <c r="F57" s="91" t="s">
        <v>196</v>
      </c>
      <c r="G57" s="61" t="s">
        <v>197</v>
      </c>
      <c r="H57" s="82" t="s">
        <v>1404</v>
      </c>
      <c r="I57" s="61" t="s">
        <v>823</v>
      </c>
      <c r="J57" s="61"/>
      <c r="K57" t="s">
        <v>1278</v>
      </c>
    </row>
    <row r="58" spans="2:13" ht="30">
      <c r="B58" s="4" t="s">
        <v>400</v>
      </c>
      <c r="C58" s="4" t="s">
        <v>434</v>
      </c>
      <c r="D58" s="4" t="s">
        <v>435</v>
      </c>
      <c r="E58" s="91" t="s">
        <v>405</v>
      </c>
      <c r="F58" s="91" t="s">
        <v>404</v>
      </c>
      <c r="G58" s="61" t="s">
        <v>405</v>
      </c>
      <c r="H58" s="82" t="s">
        <v>1405</v>
      </c>
      <c r="I58" s="61" t="s">
        <v>406</v>
      </c>
      <c r="J58" s="61"/>
      <c r="K58" t="s">
        <v>1278</v>
      </c>
    </row>
    <row r="59" spans="2:13" ht="30">
      <c r="B59" s="80" t="s">
        <v>400</v>
      </c>
      <c r="C59" s="54" t="s">
        <v>436</v>
      </c>
      <c r="D59" s="4" t="s">
        <v>437</v>
      </c>
      <c r="E59" s="89" t="s">
        <v>441</v>
      </c>
      <c r="F59" s="89" t="s">
        <v>440</v>
      </c>
      <c r="G59" s="61" t="s">
        <v>441</v>
      </c>
      <c r="H59" s="82" t="s">
        <v>1406</v>
      </c>
      <c r="I59" s="61" t="s">
        <v>442</v>
      </c>
      <c r="J59" s="61"/>
      <c r="K59" t="s">
        <v>1278</v>
      </c>
    </row>
    <row r="60" spans="2:13" hidden="1">
      <c r="B60" s="98"/>
      <c r="C60" s="98"/>
      <c r="D60" s="98"/>
      <c r="E60" s="98" t="s">
        <v>1407</v>
      </c>
      <c r="F60" s="98" t="s">
        <v>1408</v>
      </c>
      <c r="G60" s="108" t="s">
        <v>1407</v>
      </c>
      <c r="H60" s="109" t="s">
        <v>1288</v>
      </c>
      <c r="I60" s="109" t="s">
        <v>1288</v>
      </c>
      <c r="J60" s="109"/>
      <c r="K60" t="s">
        <v>1273</v>
      </c>
      <c r="M60" s="131">
        <f>DATE(2026,10,7)</f>
        <v>46302</v>
      </c>
    </row>
    <row r="61" spans="2:13" ht="15">
      <c r="B61" s="4" t="s">
        <v>298</v>
      </c>
      <c r="C61" s="4" t="s">
        <v>328</v>
      </c>
      <c r="D61" s="4" t="s">
        <v>329</v>
      </c>
      <c r="E61" s="91" t="s">
        <v>333</v>
      </c>
      <c r="F61" s="91" t="s">
        <v>332</v>
      </c>
      <c r="G61" s="61" t="s">
        <v>333</v>
      </c>
      <c r="H61" s="101" t="s">
        <v>1409</v>
      </c>
      <c r="I61" s="61" t="s">
        <v>333</v>
      </c>
      <c r="J61" s="61"/>
      <c r="K61" t="s">
        <v>1278</v>
      </c>
    </row>
    <row r="62" spans="2:13" hidden="1">
      <c r="B62" s="98"/>
      <c r="C62" s="98"/>
      <c r="D62" s="98"/>
      <c r="E62" s="98" t="s">
        <v>1236</v>
      </c>
      <c r="F62" s="98" t="s">
        <v>1235</v>
      </c>
      <c r="G62" s="108" t="s">
        <v>1236</v>
      </c>
      <c r="H62" s="109" t="s">
        <v>1288</v>
      </c>
      <c r="I62" s="109" t="s">
        <v>1288</v>
      </c>
      <c r="J62" s="109"/>
      <c r="K62" t="s">
        <v>1273</v>
      </c>
      <c r="M62" s="131">
        <f t="shared" ref="M62:M65" si="6">DATE(2026,10,7)</f>
        <v>46302</v>
      </c>
    </row>
    <row r="63" spans="2:13" hidden="1">
      <c r="B63" s="98"/>
      <c r="C63" s="98"/>
      <c r="D63" s="98"/>
      <c r="E63" s="98" t="s">
        <v>1410</v>
      </c>
      <c r="F63" s="98" t="s">
        <v>1411</v>
      </c>
      <c r="G63" s="108" t="s">
        <v>1410</v>
      </c>
      <c r="H63" s="109" t="s">
        <v>1288</v>
      </c>
      <c r="I63" s="109" t="s">
        <v>1288</v>
      </c>
      <c r="J63" s="109"/>
      <c r="K63" t="s">
        <v>1273</v>
      </c>
      <c r="M63" s="131">
        <f t="shared" si="6"/>
        <v>46302</v>
      </c>
    </row>
    <row r="64" spans="2:13" hidden="1">
      <c r="B64" s="98"/>
      <c r="C64" s="98"/>
      <c r="D64" s="98"/>
      <c r="E64" s="98" t="s">
        <v>1412</v>
      </c>
      <c r="F64" s="98" t="s">
        <v>1413</v>
      </c>
      <c r="G64" s="108" t="s">
        <v>1412</v>
      </c>
      <c r="H64" s="109" t="s">
        <v>1288</v>
      </c>
      <c r="I64" s="109" t="s">
        <v>1288</v>
      </c>
      <c r="J64" s="109"/>
      <c r="K64" t="s">
        <v>1273</v>
      </c>
      <c r="M64" s="131">
        <f t="shared" si="6"/>
        <v>46302</v>
      </c>
    </row>
    <row r="65" spans="2:13" hidden="1">
      <c r="B65" s="98"/>
      <c r="C65" s="98"/>
      <c r="D65" s="98"/>
      <c r="E65" s="98" t="s">
        <v>1414</v>
      </c>
      <c r="F65" s="98" t="s">
        <v>1415</v>
      </c>
      <c r="G65" s="108" t="s">
        <v>1414</v>
      </c>
      <c r="H65" s="109" t="s">
        <v>1288</v>
      </c>
      <c r="I65" s="109" t="s">
        <v>1288</v>
      </c>
      <c r="J65" s="109"/>
      <c r="K65" t="s">
        <v>1273</v>
      </c>
      <c r="M65" s="131">
        <f t="shared" si="6"/>
        <v>46302</v>
      </c>
    </row>
    <row r="66" spans="2:13" ht="30">
      <c r="B66" s="4" t="s">
        <v>209</v>
      </c>
      <c r="C66" s="4" t="s">
        <v>261</v>
      </c>
      <c r="D66" s="4" t="s">
        <v>262</v>
      </c>
      <c r="E66" s="91" t="s">
        <v>230</v>
      </c>
      <c r="F66" s="91" t="s">
        <v>229</v>
      </c>
      <c r="G66" s="61" t="s">
        <v>230</v>
      </c>
      <c r="H66" s="124" t="s">
        <v>1361</v>
      </c>
      <c r="I66" s="61" t="s">
        <v>215</v>
      </c>
      <c r="J66" s="61"/>
      <c r="K66" t="s">
        <v>1278</v>
      </c>
    </row>
    <row r="67" spans="2:13" ht="30">
      <c r="B67" s="4" t="s">
        <v>209</v>
      </c>
      <c r="C67" s="4" t="s">
        <v>232</v>
      </c>
      <c r="D67" s="4" t="s">
        <v>233</v>
      </c>
      <c r="E67" s="91" t="s">
        <v>237</v>
      </c>
      <c r="F67" s="91" t="s">
        <v>236</v>
      </c>
      <c r="G67" s="61" t="s">
        <v>237</v>
      </c>
      <c r="H67" s="73" t="s">
        <v>1416</v>
      </c>
      <c r="I67" s="61" t="s">
        <v>237</v>
      </c>
      <c r="J67" s="61"/>
      <c r="K67" t="s">
        <v>1278</v>
      </c>
    </row>
    <row r="68" spans="2:13" ht="30">
      <c r="B68" s="4" t="s">
        <v>298</v>
      </c>
      <c r="C68" s="4" t="s">
        <v>343</v>
      </c>
      <c r="D68" s="4" t="s">
        <v>344</v>
      </c>
      <c r="E68" s="91" t="s">
        <v>348</v>
      </c>
      <c r="F68" s="91" t="s">
        <v>347</v>
      </c>
      <c r="G68" s="61" t="s">
        <v>348</v>
      </c>
      <c r="H68" s="73" t="s">
        <v>1417</v>
      </c>
      <c r="I68" s="61" t="s">
        <v>348</v>
      </c>
      <c r="J68" s="61"/>
      <c r="K68" t="s">
        <v>1278</v>
      </c>
    </row>
    <row r="69" spans="2:13" hidden="1">
      <c r="B69" s="110"/>
      <c r="C69" s="110" t="s">
        <v>455</v>
      </c>
      <c r="D69" s="110" t="s">
        <v>455</v>
      </c>
      <c r="E69" s="110" t="s">
        <v>455</v>
      </c>
      <c r="F69" s="110" t="s">
        <v>457</v>
      </c>
      <c r="G69" s="111" t="s">
        <v>455</v>
      </c>
      <c r="H69" s="110" t="s">
        <v>1288</v>
      </c>
      <c r="I69" s="110" t="s">
        <v>1288</v>
      </c>
      <c r="J69" s="110"/>
      <c r="K69" t="s">
        <v>1273</v>
      </c>
      <c r="M69" s="131">
        <f>DATE(2026,10,7)</f>
        <v>46302</v>
      </c>
    </row>
    <row r="70" spans="2:13" ht="30">
      <c r="B70" s="4" t="s">
        <v>209</v>
      </c>
      <c r="C70" s="4" t="s">
        <v>291</v>
      </c>
      <c r="D70" s="4" t="s">
        <v>292</v>
      </c>
      <c r="E70" s="91" t="s">
        <v>296</v>
      </c>
      <c r="F70" s="91" t="s">
        <v>295</v>
      </c>
      <c r="G70" s="61" t="s">
        <v>296</v>
      </c>
      <c r="H70" s="102" t="s">
        <v>1418</v>
      </c>
      <c r="I70" s="61" t="s">
        <v>296</v>
      </c>
      <c r="J70" s="61"/>
      <c r="K70" t="s">
        <v>1278</v>
      </c>
    </row>
    <row r="71" spans="2:13" hidden="1">
      <c r="B71" s="98"/>
      <c r="C71" s="98"/>
      <c r="D71" s="98"/>
      <c r="E71" s="98" t="s">
        <v>1419</v>
      </c>
      <c r="F71" s="98" t="s">
        <v>1420</v>
      </c>
      <c r="G71" s="108" t="s">
        <v>1419</v>
      </c>
      <c r="H71" s="109" t="s">
        <v>1421</v>
      </c>
      <c r="I71" s="108" t="s">
        <v>1422</v>
      </c>
      <c r="J71" s="108"/>
      <c r="K71" t="s">
        <v>1273</v>
      </c>
      <c r="M71" s="131">
        <f>DATE(2026,10,7)</f>
        <v>46302</v>
      </c>
    </row>
    <row r="72" spans="2:13" ht="30">
      <c r="B72" s="54" t="s">
        <v>298</v>
      </c>
      <c r="C72" s="41" t="s">
        <v>313</v>
      </c>
      <c r="D72" s="41" t="s">
        <v>314</v>
      </c>
      <c r="E72" s="89" t="s">
        <v>318</v>
      </c>
      <c r="F72" s="89" t="s">
        <v>317</v>
      </c>
      <c r="G72" s="115" t="s">
        <v>318</v>
      </c>
      <c r="H72" s="126" t="s">
        <v>1343</v>
      </c>
      <c r="I72" s="61" t="s">
        <v>304</v>
      </c>
      <c r="J72" s="61"/>
      <c r="K72" t="s">
        <v>1278</v>
      </c>
    </row>
    <row r="73" spans="2:13" hidden="1">
      <c r="B73" s="98"/>
      <c r="C73" s="98"/>
      <c r="D73" s="98"/>
      <c r="E73" s="98" t="s">
        <v>1423</v>
      </c>
      <c r="F73" s="113" t="s">
        <v>1424</v>
      </c>
      <c r="G73" s="108" t="s">
        <v>1423</v>
      </c>
      <c r="H73" s="109" t="s">
        <v>1425</v>
      </c>
      <c r="I73" s="108" t="s">
        <v>1426</v>
      </c>
      <c r="J73" s="108"/>
      <c r="K73" t="s">
        <v>1273</v>
      </c>
      <c r="M73" s="131">
        <f t="shared" ref="M73:M74" si="7">DATE(2026,10,7)</f>
        <v>46302</v>
      </c>
    </row>
    <row r="74" spans="2:13" hidden="1">
      <c r="B74" s="98"/>
      <c r="C74" s="98"/>
      <c r="D74" s="98"/>
      <c r="E74" s="98" t="s">
        <v>1364</v>
      </c>
      <c r="F74" s="98" t="s">
        <v>1427</v>
      </c>
      <c r="G74" s="108" t="s">
        <v>1364</v>
      </c>
      <c r="H74" s="109" t="s">
        <v>1428</v>
      </c>
      <c r="I74" s="108" t="s">
        <v>1370</v>
      </c>
      <c r="J74" s="108"/>
      <c r="K74" t="s">
        <v>1273</v>
      </c>
      <c r="M74" s="131">
        <f t="shared" si="7"/>
        <v>46302</v>
      </c>
    </row>
    <row r="75" spans="2:13" ht="30">
      <c r="B75" s="4" t="s">
        <v>115</v>
      </c>
      <c r="C75" s="4" t="s">
        <v>144</v>
      </c>
      <c r="D75" s="4" t="s">
        <v>145</v>
      </c>
      <c r="E75" s="91" t="s">
        <v>149</v>
      </c>
      <c r="F75" s="91" t="s">
        <v>148</v>
      </c>
      <c r="G75" s="61" t="s">
        <v>149</v>
      </c>
      <c r="H75" s="101" t="s">
        <v>1429</v>
      </c>
      <c r="I75" s="61" t="s">
        <v>150</v>
      </c>
      <c r="J75" s="61"/>
      <c r="K75" t="s">
        <v>1278</v>
      </c>
    </row>
    <row r="76" spans="2:13" ht="45.75">
      <c r="B76" s="4" t="s">
        <v>298</v>
      </c>
      <c r="C76" s="4" t="s">
        <v>320</v>
      </c>
      <c r="D76" s="4" t="s">
        <v>321</v>
      </c>
      <c r="E76" s="91" t="s">
        <v>325</v>
      </c>
      <c r="F76" s="91" t="s">
        <v>324</v>
      </c>
      <c r="G76" s="61" t="s">
        <v>325</v>
      </c>
      <c r="H76" s="82" t="s">
        <v>1353</v>
      </c>
      <c r="I76" s="106" t="s">
        <v>325</v>
      </c>
      <c r="J76" s="106"/>
      <c r="K76" t="s">
        <v>1278</v>
      </c>
    </row>
    <row r="77" spans="2:13" ht="30">
      <c r="B77" s="4" t="s">
        <v>298</v>
      </c>
      <c r="C77" s="4" t="s">
        <v>306</v>
      </c>
      <c r="D77" s="4" t="s">
        <v>307</v>
      </c>
      <c r="E77" s="91" t="s">
        <v>311</v>
      </c>
      <c r="F77" s="91" t="s">
        <v>310</v>
      </c>
      <c r="G77" s="115" t="s">
        <v>311</v>
      </c>
      <c r="H77" s="126" t="s">
        <v>1343</v>
      </c>
      <c r="I77" s="61" t="s">
        <v>304</v>
      </c>
      <c r="J77" s="61"/>
      <c r="K77" t="s">
        <v>1278</v>
      </c>
    </row>
    <row r="78" spans="2:13" ht="45.75">
      <c r="B78" s="4" t="s">
        <v>107</v>
      </c>
      <c r="C78" s="4" t="s">
        <v>107</v>
      </c>
      <c r="D78" s="4" t="s">
        <v>108</v>
      </c>
      <c r="E78" s="91" t="s">
        <v>112</v>
      </c>
      <c r="F78" s="91" t="s">
        <v>111</v>
      </c>
      <c r="G78" s="61" t="s">
        <v>112</v>
      </c>
      <c r="H78" s="103" t="s">
        <v>1430</v>
      </c>
      <c r="I78" s="61" t="s">
        <v>112</v>
      </c>
      <c r="J78" s="61"/>
      <c r="K78" t="s">
        <v>1278</v>
      </c>
    </row>
    <row r="79" spans="2:13" hidden="1">
      <c r="B79" s="98"/>
      <c r="C79" s="98"/>
      <c r="D79" s="98"/>
      <c r="E79" s="98" t="s">
        <v>1364</v>
      </c>
      <c r="F79" s="98" t="s">
        <v>1232</v>
      </c>
      <c r="G79" s="108" t="s">
        <v>1364</v>
      </c>
      <c r="H79" s="109" t="s">
        <v>1431</v>
      </c>
      <c r="I79" s="108" t="s">
        <v>1432</v>
      </c>
      <c r="J79" s="108"/>
      <c r="K79" t="s">
        <v>1273</v>
      </c>
      <c r="M79" s="131">
        <f>DATE(2026,10,7)</f>
        <v>46302</v>
      </c>
    </row>
    <row r="80" spans="2:13" ht="30">
      <c r="B80" s="22" t="s">
        <v>371</v>
      </c>
      <c r="C80" s="22" t="s">
        <v>370</v>
      </c>
      <c r="D80" s="22" t="s">
        <v>372</v>
      </c>
      <c r="E80" s="91" t="s">
        <v>376</v>
      </c>
      <c r="F80" s="91" t="s">
        <v>375</v>
      </c>
      <c r="G80" s="61" t="s">
        <v>376</v>
      </c>
      <c r="H80" s="103" t="s">
        <v>1433</v>
      </c>
      <c r="I80" s="61" t="s">
        <v>377</v>
      </c>
      <c r="J80" s="61"/>
      <c r="K80" t="s">
        <v>1278</v>
      </c>
    </row>
    <row r="81" spans="2:21" hidden="1">
      <c r="B81" s="98"/>
      <c r="C81" s="98"/>
      <c r="D81" s="98"/>
      <c r="E81" s="98" t="s">
        <v>1434</v>
      </c>
      <c r="F81" s="98" t="s">
        <v>1435</v>
      </c>
      <c r="G81" s="108" t="s">
        <v>1434</v>
      </c>
      <c r="H81" s="109" t="s">
        <v>1288</v>
      </c>
      <c r="I81" s="109" t="s">
        <v>1288</v>
      </c>
      <c r="J81" s="109"/>
      <c r="K81" t="s">
        <v>1273</v>
      </c>
      <c r="M81" s="131">
        <f t="shared" ref="M81:M82" si="8">DATE(2026,10,7)</f>
        <v>46302</v>
      </c>
    </row>
    <row r="82" spans="2:21" hidden="1">
      <c r="B82" s="98"/>
      <c r="C82" s="98"/>
      <c r="D82" s="98"/>
      <c r="E82" s="98" t="s">
        <v>1436</v>
      </c>
      <c r="F82" s="98" t="s">
        <v>1437</v>
      </c>
      <c r="G82" s="108" t="s">
        <v>1436</v>
      </c>
      <c r="H82" s="109" t="s">
        <v>1359</v>
      </c>
      <c r="I82" s="108" t="s">
        <v>1360</v>
      </c>
      <c r="J82" s="108"/>
      <c r="K82" t="s">
        <v>1273</v>
      </c>
      <c r="M82" s="131">
        <f t="shared" si="8"/>
        <v>46302</v>
      </c>
    </row>
    <row r="83" spans="2:21" ht="30">
      <c r="B83" s="4" t="s">
        <v>209</v>
      </c>
      <c r="C83" s="4" t="s">
        <v>208</v>
      </c>
      <c r="D83" s="4" t="s">
        <v>210</v>
      </c>
      <c r="E83" s="91" t="s">
        <v>214</v>
      </c>
      <c r="F83" s="91" t="s">
        <v>213</v>
      </c>
      <c r="G83" s="61" t="s">
        <v>214</v>
      </c>
      <c r="H83" s="125" t="s">
        <v>1361</v>
      </c>
      <c r="I83" s="61" t="s">
        <v>215</v>
      </c>
      <c r="J83" s="61"/>
      <c r="K83" t="s">
        <v>1278</v>
      </c>
    </row>
    <row r="84" spans="2:21" ht="45.75">
      <c r="B84" s="4" t="s">
        <v>183</v>
      </c>
      <c r="C84" s="4" t="s">
        <v>182</v>
      </c>
      <c r="D84" s="4" t="s">
        <v>184</v>
      </c>
      <c r="E84" s="91" t="s">
        <v>188</v>
      </c>
      <c r="F84" s="91" t="s">
        <v>187</v>
      </c>
      <c r="G84" s="61" t="s">
        <v>188</v>
      </c>
      <c r="H84" s="6" t="s">
        <v>1438</v>
      </c>
      <c r="I84" s="61" t="s">
        <v>189</v>
      </c>
      <c r="J84" s="61"/>
      <c r="K84" t="s">
        <v>1278</v>
      </c>
      <c r="U84" t="s">
        <v>1439</v>
      </c>
    </row>
    <row r="85" spans="2:21" hidden="1">
      <c r="B85" s="98"/>
      <c r="C85" s="98"/>
      <c r="D85" s="98"/>
      <c r="E85" s="98" t="s">
        <v>1440</v>
      </c>
      <c r="F85" s="98" t="s">
        <v>1441</v>
      </c>
      <c r="G85" s="108" t="s">
        <v>1440</v>
      </c>
      <c r="H85" s="109" t="s">
        <v>1288</v>
      </c>
      <c r="I85" s="109" t="s">
        <v>1288</v>
      </c>
      <c r="J85" s="109"/>
      <c r="K85" t="s">
        <v>1273</v>
      </c>
      <c r="M85" s="131">
        <f t="shared" ref="M85:M87" si="9">DATE(2026,10,7)</f>
        <v>46302</v>
      </c>
    </row>
    <row r="86" spans="2:21" hidden="1">
      <c r="B86" s="98"/>
      <c r="C86" s="98"/>
      <c r="D86" s="98"/>
      <c r="E86" s="98" t="s">
        <v>1442</v>
      </c>
      <c r="F86" s="98" t="s">
        <v>1443</v>
      </c>
      <c r="G86" s="108" t="s">
        <v>1442</v>
      </c>
      <c r="H86" s="109" t="s">
        <v>1444</v>
      </c>
      <c r="I86" s="108" t="s">
        <v>1445</v>
      </c>
      <c r="J86" s="108"/>
      <c r="K86" t="s">
        <v>1273</v>
      </c>
      <c r="M86" s="131">
        <f t="shared" si="9"/>
        <v>46302</v>
      </c>
    </row>
    <row r="87" spans="2:21" hidden="1">
      <c r="B87" s="98"/>
      <c r="C87" s="98"/>
      <c r="D87" s="98"/>
      <c r="E87" s="98" t="s">
        <v>1300</v>
      </c>
      <c r="F87" s="98" t="s">
        <v>1446</v>
      </c>
      <c r="G87" s="108" t="s">
        <v>1300</v>
      </c>
      <c r="H87" s="109" t="s">
        <v>1447</v>
      </c>
      <c r="I87" s="108" t="s">
        <v>1399</v>
      </c>
      <c r="J87" s="108"/>
      <c r="K87" t="s">
        <v>1273</v>
      </c>
      <c r="M87" s="131">
        <f t="shared" si="9"/>
        <v>46302</v>
      </c>
    </row>
    <row r="88" spans="2:21" ht="30">
      <c r="B88" s="4" t="s">
        <v>209</v>
      </c>
      <c r="C88" s="4" t="s">
        <v>248</v>
      </c>
      <c r="D88" s="4" t="s">
        <v>249</v>
      </c>
      <c r="E88" s="91" t="s">
        <v>253</v>
      </c>
      <c r="F88" s="91" t="s">
        <v>252</v>
      </c>
      <c r="G88" s="61" t="s">
        <v>253</v>
      </c>
      <c r="H88" s="82" t="s">
        <v>1448</v>
      </c>
      <c r="I88" s="61" t="s">
        <v>253</v>
      </c>
      <c r="J88" s="61"/>
      <c r="K88" t="s">
        <v>1278</v>
      </c>
    </row>
    <row r="89" spans="2:21" hidden="1">
      <c r="B89" s="98"/>
      <c r="C89" s="98"/>
      <c r="D89" s="98"/>
      <c r="E89" s="98" t="s">
        <v>1449</v>
      </c>
      <c r="F89" s="98" t="s">
        <v>1450</v>
      </c>
      <c r="G89" s="108" t="s">
        <v>1449</v>
      </c>
      <c r="H89" s="109" t="s">
        <v>1288</v>
      </c>
      <c r="I89" s="109" t="s">
        <v>1288</v>
      </c>
      <c r="J89" s="109"/>
      <c r="K89" t="s">
        <v>1273</v>
      </c>
      <c r="M89" s="131">
        <f t="shared" ref="M89:M90" si="10">DATE(2026,10,7)</f>
        <v>46302</v>
      </c>
    </row>
    <row r="90" spans="2:21" hidden="1">
      <c r="B90" s="98"/>
      <c r="C90" s="98"/>
      <c r="D90" s="98"/>
      <c r="E90" s="98" t="s">
        <v>1300</v>
      </c>
      <c r="F90" s="98" t="s">
        <v>1451</v>
      </c>
      <c r="G90" s="108" t="s">
        <v>1300</v>
      </c>
      <c r="H90" s="109" t="s">
        <v>1452</v>
      </c>
      <c r="I90" s="108" t="s">
        <v>1399</v>
      </c>
      <c r="J90" s="108"/>
      <c r="K90" t="s">
        <v>1273</v>
      </c>
      <c r="M90" s="131">
        <f t="shared" si="10"/>
        <v>46302</v>
      </c>
    </row>
    <row r="91" spans="2:21" ht="30">
      <c r="B91" s="4" t="s">
        <v>29</v>
      </c>
      <c r="C91" s="4" t="s">
        <v>58</v>
      </c>
      <c r="D91" s="4" t="s">
        <v>59</v>
      </c>
      <c r="E91" s="92" t="s">
        <v>63</v>
      </c>
      <c r="F91" s="93" t="s">
        <v>62</v>
      </c>
      <c r="G91" s="61" t="s">
        <v>63</v>
      </c>
      <c r="H91" s="82" t="s">
        <v>1453</v>
      </c>
      <c r="I91" s="61" t="s">
        <v>63</v>
      </c>
      <c r="J91" s="61"/>
      <c r="K91" t="s">
        <v>1278</v>
      </c>
    </row>
    <row r="92" spans="2:21" ht="15" hidden="1">
      <c r="B92" s="137"/>
      <c r="C92" s="137"/>
      <c r="D92" s="137"/>
      <c r="E92" s="98" t="s">
        <v>1454</v>
      </c>
      <c r="F92" s="98" t="s">
        <v>1455</v>
      </c>
      <c r="G92" s="108" t="s">
        <v>1454</v>
      </c>
      <c r="H92" s="109" t="s">
        <v>1456</v>
      </c>
      <c r="I92" s="108" t="s">
        <v>1457</v>
      </c>
      <c r="J92" s="108"/>
      <c r="K92" t="s">
        <v>1273</v>
      </c>
      <c r="M92" s="131">
        <f t="shared" ref="M92:M93" si="11">DATE(2026,10,7)</f>
        <v>46302</v>
      </c>
    </row>
    <row r="93" spans="2:21" hidden="1">
      <c r="B93" s="98"/>
      <c r="C93" s="98"/>
      <c r="D93" s="98"/>
      <c r="E93" s="98" t="s">
        <v>1458</v>
      </c>
      <c r="F93" s="98" t="s">
        <v>1459</v>
      </c>
      <c r="G93" s="108" t="s">
        <v>1458</v>
      </c>
      <c r="H93" s="109" t="s">
        <v>1460</v>
      </c>
      <c r="I93" s="108" t="s">
        <v>1461</v>
      </c>
      <c r="J93" s="108"/>
      <c r="K93" t="s">
        <v>1273</v>
      </c>
      <c r="M93" s="131">
        <f t="shared" si="11"/>
        <v>46302</v>
      </c>
    </row>
    <row r="94" spans="2:21" ht="30">
      <c r="B94" s="4" t="s">
        <v>115</v>
      </c>
      <c r="C94" s="4" t="s">
        <v>114</v>
      </c>
      <c r="D94" s="4" t="s">
        <v>116</v>
      </c>
      <c r="E94" s="91" t="s">
        <v>120</v>
      </c>
      <c r="F94" s="91" t="s">
        <v>119</v>
      </c>
      <c r="G94" s="61" t="s">
        <v>120</v>
      </c>
      <c r="H94" s="82" t="s">
        <v>1462</v>
      </c>
      <c r="I94" s="61" t="s">
        <v>121</v>
      </c>
      <c r="J94" s="61"/>
      <c r="K94" t="s">
        <v>1278</v>
      </c>
      <c r="U94" t="s">
        <v>1439</v>
      </c>
    </row>
    <row r="95" spans="2:21" hidden="1">
      <c r="B95" s="98"/>
      <c r="C95" s="98"/>
      <c r="D95" s="98"/>
      <c r="E95" s="98" t="s">
        <v>1463</v>
      </c>
      <c r="F95" s="98" t="s">
        <v>1464</v>
      </c>
      <c r="G95" s="108" t="s">
        <v>1463</v>
      </c>
      <c r="H95" s="109" t="s">
        <v>1465</v>
      </c>
      <c r="I95" s="108" t="s">
        <v>1466</v>
      </c>
      <c r="J95" s="108"/>
      <c r="K95" t="s">
        <v>1273</v>
      </c>
      <c r="M95" s="131">
        <f>DATE(2026,10,7)</f>
        <v>46302</v>
      </c>
    </row>
    <row r="96" spans="2:21" ht="30">
      <c r="B96" s="4" t="s">
        <v>209</v>
      </c>
      <c r="C96" s="4" t="s">
        <v>272</v>
      </c>
      <c r="D96" s="4" t="s">
        <v>273</v>
      </c>
      <c r="E96" s="91" t="s">
        <v>277</v>
      </c>
      <c r="F96" s="91" t="s">
        <v>276</v>
      </c>
      <c r="G96" s="61" t="s">
        <v>277</v>
      </c>
      <c r="H96" s="82" t="s">
        <v>1467</v>
      </c>
      <c r="I96" s="61" t="s">
        <v>277</v>
      </c>
      <c r="J96" s="61"/>
      <c r="K96" t="s">
        <v>1278</v>
      </c>
    </row>
    <row r="97" spans="2:13" ht="45.75">
      <c r="B97" s="4" t="s">
        <v>115</v>
      </c>
      <c r="C97" s="4" t="s">
        <v>132</v>
      </c>
      <c r="D97" s="4" t="s">
        <v>133</v>
      </c>
      <c r="E97" s="91" t="s">
        <v>137</v>
      </c>
      <c r="F97" s="91" t="s">
        <v>136</v>
      </c>
      <c r="G97" s="61" t="s">
        <v>137</v>
      </c>
      <c r="H97" s="82" t="s">
        <v>1468</v>
      </c>
      <c r="I97" s="61" t="s">
        <v>137</v>
      </c>
      <c r="J97" s="61"/>
      <c r="K97" t="s">
        <v>1278</v>
      </c>
    </row>
    <row r="98" spans="2:13" hidden="1">
      <c r="B98" s="98"/>
      <c r="C98" s="98"/>
      <c r="D98" s="98"/>
      <c r="E98" s="98" t="s">
        <v>1469</v>
      </c>
      <c r="F98" s="98" t="s">
        <v>1470</v>
      </c>
      <c r="G98" s="108" t="s">
        <v>1469</v>
      </c>
      <c r="H98" s="109" t="s">
        <v>1288</v>
      </c>
      <c r="I98" s="109" t="s">
        <v>1288</v>
      </c>
      <c r="J98" s="108" t="s">
        <v>1471</v>
      </c>
      <c r="K98" t="s">
        <v>1273</v>
      </c>
      <c r="M98" s="131">
        <f t="shared" ref="M98:M100" si="12">DATE(2026,10,7)</f>
        <v>46302</v>
      </c>
    </row>
    <row r="99" spans="2:13" hidden="1">
      <c r="B99" s="110"/>
      <c r="C99" s="110"/>
      <c r="D99" s="110"/>
      <c r="E99" s="110" t="s">
        <v>1472</v>
      </c>
      <c r="F99" s="110" t="s">
        <v>1473</v>
      </c>
      <c r="G99" s="111" t="s">
        <v>1472</v>
      </c>
      <c r="H99" s="110" t="s">
        <v>1288</v>
      </c>
      <c r="I99" s="110" t="s">
        <v>1288</v>
      </c>
      <c r="J99" s="111" t="s">
        <v>1474</v>
      </c>
      <c r="K99" t="s">
        <v>1273</v>
      </c>
      <c r="M99" s="131">
        <f t="shared" si="12"/>
        <v>46302</v>
      </c>
    </row>
    <row r="100" spans="2:13" hidden="1">
      <c r="B100" s="98"/>
      <c r="C100" s="98"/>
      <c r="D100" s="98"/>
      <c r="E100" s="98" t="s">
        <v>1475</v>
      </c>
      <c r="F100" s="98" t="s">
        <v>1271</v>
      </c>
      <c r="G100" s="108" t="s">
        <v>1270</v>
      </c>
      <c r="H100" s="109" t="s">
        <v>1361</v>
      </c>
      <c r="I100" s="108" t="s">
        <v>215</v>
      </c>
      <c r="J100" s="108"/>
      <c r="K100" t="s">
        <v>1273</v>
      </c>
      <c r="M100" s="131">
        <f t="shared" si="12"/>
        <v>46302</v>
      </c>
    </row>
    <row r="101" spans="2:13" ht="30">
      <c r="B101" s="4" t="s">
        <v>115</v>
      </c>
      <c r="C101" s="4" t="s">
        <v>139</v>
      </c>
      <c r="D101" s="4" t="s">
        <v>140</v>
      </c>
      <c r="E101" s="90" t="s">
        <v>143</v>
      </c>
      <c r="F101" s="90" t="s">
        <v>143</v>
      </c>
      <c r="G101" s="8" t="s">
        <v>143</v>
      </c>
      <c r="H101" s="104" t="s">
        <v>143</v>
      </c>
      <c r="I101" s="8" t="s">
        <v>143</v>
      </c>
      <c r="J101" s="107"/>
      <c r="K101" t="s">
        <v>1278</v>
      </c>
    </row>
    <row r="102" spans="2:13" ht="15">
      <c r="B102" s="80" t="s">
        <v>445</v>
      </c>
      <c r="C102" s="4" t="s">
        <v>450</v>
      </c>
      <c r="D102" s="4" t="s">
        <v>451</v>
      </c>
      <c r="E102" s="94" t="s">
        <v>453</v>
      </c>
      <c r="F102" s="95" t="s">
        <v>452</v>
      </c>
      <c r="G102" s="61" t="s">
        <v>453</v>
      </c>
      <c r="H102" s="127" t="s">
        <v>1317</v>
      </c>
      <c r="I102" s="61" t="s">
        <v>206</v>
      </c>
      <c r="J102" s="61"/>
      <c r="K102" t="s">
        <v>1278</v>
      </c>
    </row>
  </sheetData>
  <hyperlinks>
    <hyperlink ref="G51" r:id="rId1" xr:uid="{5FB787E2-9C2B-4BC6-9A7A-DB2ACC03F93E}"/>
    <hyperlink ref="G52" r:id="rId2" xr:uid="{867AC4D9-24DF-46EE-81DD-E73DE37F8E3F}"/>
    <hyperlink ref="G53" r:id="rId3" xr:uid="{72CF5A8D-41D7-4EF3-BF74-138A1B5E617E}"/>
    <hyperlink ref="G54" r:id="rId4" xr:uid="{380F4C37-E144-491C-83C0-D1365D7C1558}"/>
    <hyperlink ref="G55" r:id="rId5" xr:uid="{2957FB49-13A1-4D13-B2A2-931230078F6A}"/>
    <hyperlink ref="G20" r:id="rId6" xr:uid="{95DC6124-D897-4EC8-9FE2-4FFC6003D480}"/>
    <hyperlink ref="G56" r:id="rId7" xr:uid="{0A08E6BC-6530-4C42-BC70-9326155E6724}"/>
    <hyperlink ref="G57" r:id="rId8" xr:uid="{8B712DF0-02B4-4BC5-B470-CB22CE9FF2F7}"/>
    <hyperlink ref="G58" r:id="rId9" xr:uid="{BB92204C-AC87-4776-AC22-C55D47931CE1}"/>
    <hyperlink ref="G59" r:id="rId10" xr:uid="{DD7C6CEA-BFD7-4C8F-BDB8-1CB28B83C1F0}"/>
    <hyperlink ref="G5" r:id="rId11" xr:uid="{2F651212-0D83-419D-8948-B00C00AE86D8}"/>
    <hyperlink ref="G2" r:id="rId12" xr:uid="{E02CC1BB-6018-4072-91D6-AC9024E0B3A9}"/>
    <hyperlink ref="G60" r:id="rId13" xr:uid="{58470CE3-FE0E-45F3-923E-B5782192C5C9}"/>
    <hyperlink ref="G61" r:id="rId14" xr:uid="{D565F0F5-1AD0-4439-97F3-96328264F82C}"/>
    <hyperlink ref="G62" r:id="rId15" xr:uid="{DA4CFBD8-13FC-458F-817A-FF46B790EC56}"/>
    <hyperlink ref="G63" r:id="rId16" xr:uid="{81BAC48B-5F1A-4FAE-A6C1-05D577AB89DE}"/>
    <hyperlink ref="G64" r:id="rId17" xr:uid="{F460D9EB-EAA8-4FB5-97DE-D2EEB4709C5B}"/>
    <hyperlink ref="G65" r:id="rId18" xr:uid="{8C564525-5E02-4BBB-8C30-F8E8DA3FFFE2}"/>
    <hyperlink ref="G66" r:id="rId19" xr:uid="{A32E8AAB-E886-415F-882A-45818E9636B8}"/>
    <hyperlink ref="G67" r:id="rId20" xr:uid="{C2C49FEC-60FB-453C-B092-65B968C91F54}"/>
    <hyperlink ref="G68" r:id="rId21" xr:uid="{711FB055-0B14-4721-BD7C-CF7E024A24B5}"/>
    <hyperlink ref="G69" r:id="rId22" xr:uid="{9A474DD1-D1C1-4CCD-82FE-1BC8F58C4968}"/>
    <hyperlink ref="G70" r:id="rId23" xr:uid="{4B44F998-D5E9-42AA-9D30-5AD0D7F64751}"/>
    <hyperlink ref="G71" r:id="rId24" xr:uid="{B3315355-0529-4999-9803-BF492D58D837}"/>
    <hyperlink ref="G72" r:id="rId25" xr:uid="{A2320E2A-09FC-4FBF-B1C6-D4DDF5A7AD9B}"/>
    <hyperlink ref="G73" r:id="rId26" xr:uid="{C42D8742-1151-44C9-8830-1F399E6E6928}"/>
    <hyperlink ref="G75" r:id="rId27" xr:uid="{A7734C0D-1534-4A30-8F9A-DDE7F5E0E8DE}"/>
    <hyperlink ref="G76" r:id="rId28" xr:uid="{A5CBD14F-9162-4B03-85FE-C138B695C7E5}"/>
    <hyperlink ref="G77" r:id="rId29" xr:uid="{0AFCE47F-FB04-4814-8EC1-2AAD35250A27}"/>
    <hyperlink ref="G78" r:id="rId30" xr:uid="{1DABD8A8-5F83-47D8-9142-803E00154BAD}"/>
    <hyperlink ref="G80" r:id="rId31" xr:uid="{09531773-2B76-42E5-90D7-96324BA142A8}"/>
    <hyperlink ref="G81" r:id="rId32" xr:uid="{121DADAF-836C-49A8-96E9-D01D025B35E4}"/>
    <hyperlink ref="G82" r:id="rId33" xr:uid="{8044CA82-CDD1-499B-BBED-37588FB58189}"/>
    <hyperlink ref="G83" r:id="rId34" xr:uid="{E76936AD-75DE-4C86-9268-2C2A050B14E3}"/>
    <hyperlink ref="G84" r:id="rId35" xr:uid="{6656902D-172E-4AE1-BDEC-42FBD5C75F3C}"/>
    <hyperlink ref="G6" r:id="rId36" xr:uid="{6D6E9E54-D63E-466E-AF9B-1E229ACAA571}"/>
    <hyperlink ref="G85" r:id="rId37" xr:uid="{AF8EC822-C47F-4296-8803-EE98D14F80EB}"/>
    <hyperlink ref="G86" r:id="rId38" xr:uid="{6EC88F54-5375-4F01-8B46-008DFEEEE248}"/>
    <hyperlink ref="G88" r:id="rId39" xr:uid="{310A5190-4C6D-420F-889B-CEFF6EB66738}"/>
    <hyperlink ref="G89" r:id="rId40" xr:uid="{5F51A1E8-7391-438D-BAA1-5B48813C3039}"/>
    <hyperlink ref="G91" r:id="rId41" xr:uid="{45A39C93-68CD-414A-9F2B-93565DB2233F}"/>
    <hyperlink ref="G92" r:id="rId42" xr:uid="{6B8F4EA3-BA32-448E-9040-40BF2145BFE5}"/>
    <hyperlink ref="G93" r:id="rId43" xr:uid="{F240CDDB-4304-4CED-A9CF-A9FFCA97B760}"/>
    <hyperlink ref="G94" r:id="rId44" xr:uid="{808BD7DC-9A88-4C5C-BBFE-791E7121ABEF}"/>
    <hyperlink ref="G95" r:id="rId45" xr:uid="{00035FA3-3EF8-430E-9E4C-9FC6C8CF8852}"/>
    <hyperlink ref="G97" r:id="rId46" xr:uid="{0750A504-5EB2-400F-A62D-58E69D403C6A}"/>
    <hyperlink ref="G98" r:id="rId47" xr:uid="{51F97F48-AE64-457A-9277-A815ED5B810F}"/>
    <hyperlink ref="G9" r:id="rId48" xr:uid="{649AD44E-F107-46F5-9D71-DA5414E3F483}"/>
    <hyperlink ref="G99" r:id="rId49" xr:uid="{6A0A00F0-D5E6-4097-A5CA-A1B26C59EDC9}"/>
    <hyperlink ref="G100" r:id="rId50" xr:uid="{48DFC161-CACE-4CA3-9125-CF9749BAD9AB}"/>
    <hyperlink ref="G10" r:id="rId51" xr:uid="{B192A410-79D9-4F02-A3C6-4015D6554DF1}"/>
    <hyperlink ref="G37" r:id="rId52" xr:uid="{4C56FAD3-24E5-4862-A1F7-7F0D132DA45C}"/>
    <hyperlink ref="G79" r:id="rId53" xr:uid="{64E40693-A984-4055-887D-D920F533F002}"/>
    <hyperlink ref="G74" r:id="rId54" xr:uid="{34228C74-71A2-4447-8955-993C6788A741}"/>
    <hyperlink ref="G11" r:id="rId55" xr:uid="{724E2F60-4D8F-41C8-8A3A-8F5D16427857}"/>
    <hyperlink ref="G90" r:id="rId56" xr:uid="{562BBB18-FED1-4129-B0CA-E8B735F144B8}"/>
    <hyperlink ref="G87" r:id="rId57" xr:uid="{E0A9DF04-BD7A-447F-B0C9-D5CAD04C0A84}"/>
    <hyperlink ref="G7" r:id="rId58" xr:uid="{97175764-AAFE-4A67-8830-8118C4B1B779}"/>
    <hyperlink ref="G8" r:id="rId59" xr:uid="{D03C1D79-A309-444D-893A-FECD9EFA7E51}"/>
    <hyperlink ref="G50" r:id="rId60" xr:uid="{47084262-3A06-443F-BA19-5A97683BCC3D}"/>
    <hyperlink ref="G49" r:id="rId61" xr:uid="{4CF6E266-A857-4E1F-AE1D-5C463B1E3D7F}"/>
    <hyperlink ref="G48" r:id="rId62" xr:uid="{F788D407-6D26-4A97-B78A-40BA2336DF19}"/>
    <hyperlink ref="G12" r:id="rId63" xr:uid="{ECCBFE7F-93E4-4933-BA5E-2F9DD7403D68}"/>
    <hyperlink ref="G47" r:id="rId64" xr:uid="{27537E01-DBD7-4DD4-9896-90F719352381}"/>
    <hyperlink ref="G46" r:id="rId65" xr:uid="{CE2B7B4F-EF2D-48C9-8DD1-A3D49C4FF2E7}"/>
    <hyperlink ref="G45" r:id="rId66" xr:uid="{4197E421-076A-4CAD-A46C-EBC2E28DAB12}"/>
    <hyperlink ref="G44" r:id="rId67" xr:uid="{2B72F3A7-89FF-4563-8404-47FAD8C978D3}"/>
    <hyperlink ref="G43" r:id="rId68" xr:uid="{B6EADAF1-D8C0-4AB2-B4C1-9F9D57F04FB6}"/>
    <hyperlink ref="G42" r:id="rId69" xr:uid="{66586428-2FBB-48B3-9AEF-6AB627C7EFE1}"/>
    <hyperlink ref="G13" r:id="rId70" xr:uid="{27F8BDE1-F3A4-4310-B3DC-540FB91948AF}"/>
    <hyperlink ref="G40" r:id="rId71" xr:uid="{265FACE9-F13A-4A3D-BB0C-A05CDD87F65E}"/>
    <hyperlink ref="G39" r:id="rId72" xr:uid="{A54AFFD1-9037-4642-BB11-F1D752B0062A}"/>
    <hyperlink ref="G38" r:id="rId73" xr:uid="{CDE73691-34C2-41CB-931A-90F22C3670DF}"/>
    <hyperlink ref="G36" r:id="rId74" xr:uid="{25FEEB24-19D0-47E6-BAC0-DA8D21B43CF6}"/>
    <hyperlink ref="G35" r:id="rId75" xr:uid="{5E762764-6999-4D60-8F0C-AF9C6A3BC150}"/>
    <hyperlink ref="G34" r:id="rId76" xr:uid="{F209A81B-632E-4D1D-A18C-D9BB3EABAE20}"/>
    <hyperlink ref="G32" r:id="rId77" xr:uid="{04A84F3F-FE24-417D-B37F-F7411BA6FF4A}"/>
    <hyperlink ref="G14" r:id="rId78" xr:uid="{EA1D46C7-163B-4AEA-AD7C-A131DACC57AD}"/>
    <hyperlink ref="G31" r:id="rId79" xr:uid="{EE0E5C2A-8718-488D-B39D-4613123E102F}"/>
    <hyperlink ref="G30" r:id="rId80" xr:uid="{13DEF657-100F-4A44-B0B6-3E265385B313}"/>
    <hyperlink ref="G15" r:id="rId81" xr:uid="{B9FD0BBD-2155-458D-922B-FE1105FD06A3}"/>
    <hyperlink ref="G29" r:id="rId82" xr:uid="{ABB04050-1087-4EF2-A4FD-27E51A85F567}"/>
    <hyperlink ref="G28" r:id="rId83" xr:uid="{90EA0667-4D6A-4B6F-84E5-68AE4FC9024F}"/>
    <hyperlink ref="G27" r:id="rId84" xr:uid="{64BBD645-8AF8-44F4-9678-0A8495D09104}"/>
    <hyperlink ref="G26" r:id="rId85" xr:uid="{4B9ED294-55AA-47B6-88D0-5F3AD80E2493}"/>
    <hyperlink ref="G25" r:id="rId86" xr:uid="{357B799B-ABF6-4C74-AB48-770DCA72A690}"/>
    <hyperlink ref="G24" r:id="rId87" xr:uid="{AD7D9812-B0ED-4B97-804F-9AA5849846F5}"/>
    <hyperlink ref="G16" r:id="rId88" xr:uid="{6C0B4306-33D7-477D-88FB-86F58E183189}"/>
    <hyperlink ref="G23" r:id="rId89" xr:uid="{25FE8A4C-BB48-4582-A78E-26CC1BA2F86D}"/>
    <hyperlink ref="G22" r:id="rId90" xr:uid="{2E723E3A-17DD-4A04-A534-19204257E6E7}"/>
    <hyperlink ref="G21" r:id="rId91" xr:uid="{83A983EB-BE91-443C-AD2E-2E4D9B7C6FE0}"/>
    <hyperlink ref="G19" r:id="rId92" xr:uid="{72C2EFDA-E0D4-40DD-BAC8-28D432A8F69A}"/>
    <hyperlink ref="G18" r:id="rId93" xr:uid="{37836586-34EF-4463-9088-5F1ED0F772DB}"/>
    <hyperlink ref="G17" r:id="rId94" xr:uid="{5B8F17A1-0F8C-4756-832F-B5BE02B86032}"/>
    <hyperlink ref="G96" r:id="rId95" xr:uid="{61E59736-89CD-437B-A3CC-220975908B89}"/>
    <hyperlink ref="G41" r:id="rId96" xr:uid="{851B215D-C278-472D-B9E0-BBC0DDB91BEA}"/>
    <hyperlink ref="G102" r:id="rId97" xr:uid="{945F48AB-ACC3-41C9-8604-44AAC3BFF14D}"/>
    <hyperlink ref="I27" r:id="rId98" xr:uid="{02F50DA6-6AE5-4427-B540-B4789DC06F02}"/>
    <hyperlink ref="I28" r:id="rId99" display="https://us-east-1.quicksight.aws.amazon.com/sn/account/mdp-ponal/analyses/1913cc21-be20-4337-8935-b760c97c4d26 " xr:uid="{BA7E6D47-A7E2-4DD7-B99A-7BCDBFEDC838}"/>
    <hyperlink ref="I29" r:id="rId100" xr:uid="{DFAF981D-5B28-4E97-BF76-399D45F6CBB4}"/>
    <hyperlink ref="I32" r:id="rId101" xr:uid="{E459C292-850D-4812-AFD0-AC0F43C6031A}"/>
    <hyperlink ref="I2" r:id="rId102" xr:uid="{5D53988D-6DE1-4EAF-9253-17B0D44EC9AF}"/>
    <hyperlink ref="I3" r:id="rId103" xr:uid="{4F87C6D7-34A2-4F16-B15B-8481AE16451C}"/>
    <hyperlink ref="I102" r:id="rId104" xr:uid="{4DFFE848-C61D-4144-9C01-02982DC1EC8E}"/>
    <hyperlink ref="I5" r:id="rId105" xr:uid="{45AC7981-E3A4-466C-A6FB-56294FC8AF7A}"/>
    <hyperlink ref="I7" r:id="rId106" xr:uid="{75A07F40-7B2C-495D-AAE8-04BBC712ACE2}"/>
    <hyperlink ref="I10" r:id="rId107" xr:uid="{18EEB75B-09EF-4422-9916-96CE90A5A856}"/>
    <hyperlink ref="I100" r:id="rId108" xr:uid="{6B1C6542-A938-4BB0-88D5-FE1636253983}"/>
    <hyperlink ref="I95" r:id="rId109" xr:uid="{D6B32CFE-61C2-4A71-8719-9C2E258EC789}"/>
    <hyperlink ref="I11" r:id="rId110" xr:uid="{6EB96BD5-FC28-4105-9D2D-E2037030C234}"/>
    <hyperlink ref="I93" r:id="rId111" xr:uid="{66F61594-BB00-40F5-9691-8321750317AD}"/>
    <hyperlink ref="I92" r:id="rId112" xr:uid="{9E479859-3815-44D9-BFC4-8BBC66FFD056}"/>
    <hyperlink ref="I90" r:id="rId113" xr:uid="{B5407BDC-9846-4EBA-BBEE-EC4A9FD3F4AC}"/>
    <hyperlink ref="I13" r:id="rId114" xr:uid="{5F5ABD45-C61D-4D78-B156-DB4079724FDC}"/>
    <hyperlink ref="I87" r:id="rId115" xr:uid="{D82B3457-60EE-4AE7-8CF5-1E3B12D0BC04}"/>
    <hyperlink ref="I86" r:id="rId116" xr:uid="{87BBC249-9BE8-4D1D-B006-1F274D0F3FA5}"/>
    <hyperlink ref="I82" r:id="rId117" xr:uid="{E9363192-089E-4643-981E-7102AC09AA8A}"/>
    <hyperlink ref="I79" r:id="rId118" xr:uid="{7C2BB837-94E1-436E-BDC1-811CAF134BCB}"/>
    <hyperlink ref="I14" r:id="rId119" xr:uid="{E0BBDF4F-FA62-4306-8985-337F3738D16A}"/>
    <hyperlink ref="I77" r:id="rId120" xr:uid="{571059FC-0280-492B-8C46-109FE4B7DE12}"/>
    <hyperlink ref="I19" r:id="rId121" xr:uid="{B64F62B4-1CA8-4EAC-B6E3-E995F3BA8816}"/>
    <hyperlink ref="I20" r:id="rId122" xr:uid="{8E06F13A-227E-4FF5-93EC-974C9D09486D}"/>
    <hyperlink ref="I21" r:id="rId123" xr:uid="{0A11D277-3CEE-4C09-BE67-46604CDA6A6E}"/>
    <hyperlink ref="I22" r:id="rId124" xr:uid="{D9CB444F-94EE-4D83-9799-54877BDE7935}"/>
    <hyperlink ref="I23" r:id="rId125" xr:uid="{A0513682-89CB-4597-9FF4-E4BB58FC9F11}"/>
    <hyperlink ref="I76" r:id="rId126" xr:uid="{5CEF23E0-956F-41DD-83AA-181D52C1E029}"/>
    <hyperlink ref="I24" r:id="rId127" xr:uid="{D683C8B8-D251-4DC3-B11C-07EE9B23CF56}"/>
    <hyperlink ref="I74" r:id="rId128" xr:uid="{12CB7824-50E4-4913-9B22-FEA7FA079C10}"/>
    <hyperlink ref="I25" r:id="rId129" xr:uid="{FC6D76BC-B854-46DF-A1F3-05D983F0409E}"/>
    <hyperlink ref="I73" r:id="rId130" xr:uid="{CDADB9C3-8A02-427E-8112-A43C78042B2B}"/>
    <hyperlink ref="I72" r:id="rId131" xr:uid="{8AAE40A7-B54C-448C-B72D-81215ED6234D}"/>
    <hyperlink ref="I71" r:id="rId132" xr:uid="{3CA177BD-8A8D-4B57-A056-2A1F51D38BFC}"/>
    <hyperlink ref="I66" r:id="rId133" xr:uid="{049C4CFE-CA75-437A-9491-BB935E75350D}"/>
    <hyperlink ref="I59" r:id="rId134" xr:uid="{CAD8A438-6138-4551-8C1B-DAB8CF4C1CD8}"/>
    <hyperlink ref="I58" r:id="rId135" xr:uid="{5D49BFE3-2192-4E7F-9AEF-F0F4F2410989}"/>
    <hyperlink ref="I56" r:id="rId136" xr:uid="{862E02EB-7A9C-4E36-B4B9-5F424950A7EB}"/>
    <hyperlink ref="I26" r:id="rId137" xr:uid="{8B304BB3-4B71-479A-8EF2-98A39FABBE18}"/>
    <hyperlink ref="I54" r:id="rId138" xr:uid="{0EAFF65D-F2DF-48F9-B4FE-6DE910137362}"/>
    <hyperlink ref="I51" r:id="rId139" xr:uid="{2686F6DB-BBB7-4A72-9D01-6E1F4B320CBD}"/>
    <hyperlink ref="I31" r:id="rId140" xr:uid="{E926BA11-2D19-48B2-B52D-5BF68280995A}"/>
    <hyperlink ref="I47" r:id="rId141" xr:uid="{5BD34412-2B0B-49DF-886C-188003BC2853}"/>
    <hyperlink ref="I34" r:id="rId142" xr:uid="{7437B936-FED1-4EF6-8740-AED4459BC2BC}"/>
    <hyperlink ref="I44" r:id="rId143" xr:uid="{1D9AD3BB-97A4-4BC9-B11B-4616D73523DE}"/>
    <hyperlink ref="I42" r:id="rId144" xr:uid="{AC3F53B1-90C8-4838-9BC2-9ACB4CAAA047}"/>
    <hyperlink ref="I35" r:id="rId145" xr:uid="{34BD7A40-BC25-4C04-9995-6D7FC3A686CF}"/>
    <hyperlink ref="I40" r:id="rId146" xr:uid="{5704CD88-BA4C-4022-898F-EEE9B32DD72D}"/>
    <hyperlink ref="I36" r:id="rId147" xr:uid="{CF502BC9-5A7D-4C98-9EC9-E8492BA7760D}"/>
    <hyperlink ref="I38" r:id="rId148" xr:uid="{B53D5109-E688-4167-8123-ED387AEAA6DF}"/>
    <hyperlink ref="I97" r:id="rId149" xr:uid="{6BA9D198-7AAD-442E-B8D5-276B3F8EEDE5}"/>
    <hyperlink ref="I96" r:id="rId150" xr:uid="{8AEDE5C4-EB2F-4AE3-8D1B-3105BDC5B9F3}"/>
    <hyperlink ref="I94" r:id="rId151" xr:uid="{10B7A05D-970E-4BC5-BE28-15D09494138C}"/>
    <hyperlink ref="I91" r:id="rId152" xr:uid="{2F591238-98AB-4AF0-9390-5BF5BBCE5295}"/>
    <hyperlink ref="I88" r:id="rId153" xr:uid="{9EE0F4AA-5FCA-4727-9C3E-A78287A6ECEA}"/>
    <hyperlink ref="I84" r:id="rId154" xr:uid="{B7507C60-DB16-43DD-8FBE-38B661949BB7}"/>
    <hyperlink ref="I83" r:id="rId155" xr:uid="{CB8448C3-ECBD-4726-9C48-178E900855D8}"/>
    <hyperlink ref="I80" r:id="rId156" xr:uid="{E5B94F61-C383-4927-950C-5E0644425987}"/>
    <hyperlink ref="R4" r:id="rId157" display="pon-prod-segt-sistema-estadistico-gestion-territorial_x000a_" xr:uid="{0B0B3B32-A054-472F-BF90-D40CD69B2183}"/>
    <hyperlink ref="I78" r:id="rId158" xr:uid="{78852BB2-7F59-4275-B93D-215EF0E8C36E}"/>
    <hyperlink ref="I75" r:id="rId159" xr:uid="{5399A0E1-9A62-4CE2-B1B1-758F981A6F6C}"/>
    <hyperlink ref="I70" r:id="rId160" xr:uid="{084C8205-7F6C-4947-A5BA-04113EA2A7F3}"/>
    <hyperlink ref="I16" r:id="rId161" xr:uid="{CDCBBBAF-8344-482F-B9B2-DE2222CC9F1C}"/>
    <hyperlink ref="I68" r:id="rId162" xr:uid="{538E6237-2A2A-46CC-9C77-F9B8BC43B02E}"/>
    <hyperlink ref="I67" r:id="rId163" xr:uid="{688DBB14-8C5B-47A6-A393-163D8C7E3997}"/>
    <hyperlink ref="I61" r:id="rId164" xr:uid="{0C6DFA9F-A7F7-4F95-81CF-B2DEA21B1776}"/>
    <hyperlink ref="I57" r:id="rId165" xr:uid="{C1304E10-E3CA-4CD4-92A3-5823BB25B860}"/>
    <hyperlink ref="I53" r:id="rId166" xr:uid="{0549DAC0-B62E-4CAE-87AC-F45A37147357}"/>
    <hyperlink ref="I52" r:id="rId167" xr:uid="{83B0ABF5-48AB-4473-AB2A-6B0522291111}"/>
    <hyperlink ref="I50" r:id="rId168" xr:uid="{B0371CDB-FF1D-4360-B9B9-986A46232EA8}"/>
    <hyperlink ref="I48" r:id="rId169" xr:uid="{352591D7-3A44-4768-8DC5-E17CA43B2C74}"/>
    <hyperlink ref="I30" r:id="rId170" xr:uid="{358D2044-6AF3-4DBD-8243-32713AB7C0AD}"/>
    <hyperlink ref="I46" r:id="rId171" xr:uid="{EEDC1249-406D-47F5-A555-DB2290CA32EA}"/>
    <hyperlink ref="I45" r:id="rId172" xr:uid="{0D01C15A-5476-490C-BCB4-4C9CD1713319}"/>
    <hyperlink ref="I41" r:id="rId173" xr:uid="{D28FBF58-48E9-45AF-AB89-5BE0F690B94C}"/>
    <hyperlink ref="J99" r:id="rId174" xr:uid="{4F4C8A08-0DC6-4E16-A9AD-C98CA38D775B}"/>
    <hyperlink ref="J98" r:id="rId175" xr:uid="{BEB194AB-E402-4055-9959-BBC7C624C027}"/>
    <hyperlink ref="J45" r:id="rId176" xr:uid="{9B97B390-07F1-468A-9C59-0D792FFEBE6C}"/>
    <hyperlink ref="J40" r:id="rId177" xr:uid="{60F1225B-198A-49D7-BE80-50130C62D892}"/>
    <hyperlink ref="G33" r:id="rId178" xr:uid="{FD4098BB-2E9B-4F7C-AA6E-92FECE9DF322}"/>
    <hyperlink ref="I33" r:id="rId179" xr:uid="{E8891F2D-3D3F-4403-AF26-3E54051CC7C8}"/>
  </hyperlinks>
  <pageMargins left="0.7" right="0.7" top="0.75" bottom="0.75" header="0.3" footer="0.3"/>
  <tableParts count="1">
    <tablePart r:id="rId18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6223-3331-49D1-B7FE-C6BA2DAF4000}">
  <dimension ref="B1:G328"/>
  <sheetViews>
    <sheetView workbookViewId="0">
      <pane ySplit="1" topLeftCell="A56" activePane="bottomLeft" state="frozen"/>
      <selection pane="bottomLeft" activeCell="G85" sqref="B1:G328"/>
    </sheetView>
  </sheetViews>
  <sheetFormatPr defaultRowHeight="12.75"/>
  <cols>
    <col min="2" max="2" width="75.5703125" bestFit="1" customWidth="1"/>
    <col min="3" max="3" width="43.28515625" bestFit="1" customWidth="1"/>
    <col min="4" max="4" width="100" bestFit="1" customWidth="1"/>
    <col min="5" max="5" width="11.7109375" bestFit="1" customWidth="1"/>
    <col min="6" max="6" width="10" bestFit="1" customWidth="1"/>
    <col min="7" max="7" width="9.85546875" bestFit="1" customWidth="1"/>
  </cols>
  <sheetData>
    <row r="1" spans="2:7" s="138" customFormat="1" ht="14.25">
      <c r="B1" s="156" t="s">
        <v>1476</v>
      </c>
      <c r="C1" s="156" t="s">
        <v>1264</v>
      </c>
      <c r="D1" s="156" t="s">
        <v>1265</v>
      </c>
      <c r="E1" s="138" t="s">
        <v>1267</v>
      </c>
      <c r="F1" s="138" t="s">
        <v>1268</v>
      </c>
      <c r="G1" s="138" t="s">
        <v>1269</v>
      </c>
    </row>
    <row r="2" spans="2:7" ht="14.25">
      <c r="B2" s="116" t="s">
        <v>121</v>
      </c>
      <c r="C2" s="116" t="s">
        <v>1462</v>
      </c>
      <c r="D2" s="118" t="s">
        <v>121</v>
      </c>
      <c r="E2" t="s">
        <v>1278</v>
      </c>
    </row>
    <row r="3" spans="2:7" ht="14.25" hidden="1">
      <c r="B3" s="128" t="s">
        <v>1477</v>
      </c>
      <c r="C3" s="128" t="s">
        <v>1478</v>
      </c>
      <c r="D3" s="108" t="s">
        <v>1477</v>
      </c>
      <c r="E3" t="s">
        <v>1273</v>
      </c>
      <c r="G3" s="131">
        <f>DATE(2026,10,8)</f>
        <v>46303</v>
      </c>
    </row>
    <row r="4" spans="2:7" ht="14.25" hidden="1">
      <c r="B4" s="128" t="s">
        <v>1479</v>
      </c>
      <c r="C4" s="128" t="s">
        <v>1480</v>
      </c>
      <c r="D4" s="108" t="s">
        <v>1479</v>
      </c>
      <c r="E4" t="s">
        <v>1273</v>
      </c>
      <c r="G4" s="131">
        <f>DATE(2026,10,8)</f>
        <v>46303</v>
      </c>
    </row>
    <row r="5" spans="2:7" ht="14.25" hidden="1">
      <c r="B5" s="128" t="s">
        <v>1399</v>
      </c>
      <c r="C5" s="128" t="s">
        <v>1481</v>
      </c>
      <c r="D5" s="108" t="s">
        <v>1482</v>
      </c>
      <c r="E5" t="s">
        <v>1273</v>
      </c>
      <c r="G5" s="131">
        <f>DATE(2026,10,7)</f>
        <v>46302</v>
      </c>
    </row>
    <row r="6" spans="2:7" ht="14.25" hidden="1">
      <c r="B6" s="128" t="s">
        <v>1483</v>
      </c>
      <c r="C6" s="128" t="s">
        <v>1484</v>
      </c>
      <c r="D6" s="108" t="s">
        <v>1483</v>
      </c>
      <c r="E6" t="s">
        <v>1273</v>
      </c>
      <c r="G6" s="131">
        <f t="shared" ref="G6:G12" si="0">DATE(2026,10,8)</f>
        <v>46303</v>
      </c>
    </row>
    <row r="7" spans="2:7" ht="14.25" hidden="1">
      <c r="B7" s="128" t="s">
        <v>1485</v>
      </c>
      <c r="C7" s="128" t="s">
        <v>1486</v>
      </c>
      <c r="D7" s="108" t="s">
        <v>1485</v>
      </c>
      <c r="E7" t="s">
        <v>1273</v>
      </c>
      <c r="G7" s="131">
        <f t="shared" si="0"/>
        <v>46303</v>
      </c>
    </row>
    <row r="8" spans="2:7" ht="14.25" hidden="1">
      <c r="B8" s="128" t="s">
        <v>1487</v>
      </c>
      <c r="C8" s="128" t="s">
        <v>1488</v>
      </c>
      <c r="D8" s="108" t="s">
        <v>1487</v>
      </c>
      <c r="E8" t="s">
        <v>1273</v>
      </c>
      <c r="G8" s="131">
        <f t="shared" si="0"/>
        <v>46303</v>
      </c>
    </row>
    <row r="9" spans="2:7" ht="14.25" hidden="1">
      <c r="B9" s="128" t="s">
        <v>1489</v>
      </c>
      <c r="C9" s="128" t="s">
        <v>1490</v>
      </c>
      <c r="D9" s="108" t="s">
        <v>1489</v>
      </c>
      <c r="E9" t="s">
        <v>1273</v>
      </c>
      <c r="G9" s="131">
        <f t="shared" si="0"/>
        <v>46303</v>
      </c>
    </row>
    <row r="10" spans="2:7" ht="14.25" hidden="1">
      <c r="B10" s="128" t="s">
        <v>1491</v>
      </c>
      <c r="C10" s="128" t="s">
        <v>1492</v>
      </c>
      <c r="D10" s="108" t="s">
        <v>1491</v>
      </c>
      <c r="E10" t="s">
        <v>1273</v>
      </c>
      <c r="G10" s="131">
        <f t="shared" si="0"/>
        <v>46303</v>
      </c>
    </row>
    <row r="11" spans="2:7" ht="14.25" hidden="1">
      <c r="B11" s="128" t="s">
        <v>1493</v>
      </c>
      <c r="C11" s="128" t="s">
        <v>1494</v>
      </c>
      <c r="D11" s="108" t="s">
        <v>1493</v>
      </c>
      <c r="E11" t="s">
        <v>1273</v>
      </c>
      <c r="G11" s="131">
        <f t="shared" si="0"/>
        <v>46303</v>
      </c>
    </row>
    <row r="12" spans="2:7" ht="14.25" hidden="1">
      <c r="B12" s="128" t="s">
        <v>1483</v>
      </c>
      <c r="C12" s="128" t="s">
        <v>1495</v>
      </c>
      <c r="D12" s="108" t="s">
        <v>1483</v>
      </c>
      <c r="E12" t="s">
        <v>1273</v>
      </c>
      <c r="G12" s="131">
        <f t="shared" si="0"/>
        <v>46303</v>
      </c>
    </row>
    <row r="13" spans="2:7" ht="14.25">
      <c r="B13" s="116" t="s">
        <v>1403</v>
      </c>
      <c r="C13" s="116" t="s">
        <v>1496</v>
      </c>
      <c r="D13" s="121" t="s">
        <v>1403</v>
      </c>
      <c r="E13" t="s">
        <v>1278</v>
      </c>
    </row>
    <row r="14" spans="2:7" ht="14.25">
      <c r="B14" s="116" t="s">
        <v>270</v>
      </c>
      <c r="C14" s="116" t="s">
        <v>1378</v>
      </c>
      <c r="D14" s="121" t="s">
        <v>270</v>
      </c>
      <c r="E14" t="s">
        <v>1278</v>
      </c>
    </row>
    <row r="15" spans="2:7" ht="14.25" hidden="1">
      <c r="B15" s="128" t="s">
        <v>1497</v>
      </c>
      <c r="C15" s="128" t="s">
        <v>1498</v>
      </c>
      <c r="D15" s="108" t="s">
        <v>1497</v>
      </c>
      <c r="E15" t="s">
        <v>1273</v>
      </c>
      <c r="G15" s="131">
        <f>DATE(2026,10,8)</f>
        <v>46303</v>
      </c>
    </row>
    <row r="16" spans="2:7" ht="14.25" hidden="1">
      <c r="B16" s="128" t="s">
        <v>1499</v>
      </c>
      <c r="C16" s="128" t="s">
        <v>1500</v>
      </c>
      <c r="D16" s="108" t="s">
        <v>1501</v>
      </c>
      <c r="E16" t="s">
        <v>1273</v>
      </c>
      <c r="G16" s="131">
        <f>DATE(2026,10,7)</f>
        <v>46302</v>
      </c>
    </row>
    <row r="17" spans="2:7" ht="14.25" hidden="1">
      <c r="B17" s="128" t="s">
        <v>1502</v>
      </c>
      <c r="C17" s="128" t="s">
        <v>1503</v>
      </c>
      <c r="D17" s="108" t="s">
        <v>1502</v>
      </c>
      <c r="E17" t="s">
        <v>1273</v>
      </c>
      <c r="G17" s="131">
        <f t="shared" ref="G17:G27" si="1">DATE(2026,10,8)</f>
        <v>46303</v>
      </c>
    </row>
    <row r="18" spans="2:7" ht="14.25" hidden="1">
      <c r="B18" s="128" t="s">
        <v>1502</v>
      </c>
      <c r="C18" s="128" t="s">
        <v>1504</v>
      </c>
      <c r="D18" s="108" t="s">
        <v>1502</v>
      </c>
      <c r="E18" t="s">
        <v>1273</v>
      </c>
      <c r="G18" s="131">
        <f t="shared" si="1"/>
        <v>46303</v>
      </c>
    </row>
    <row r="19" spans="2:7" ht="14.25" hidden="1">
      <c r="B19" s="128" t="s">
        <v>1505</v>
      </c>
      <c r="C19" s="128" t="s">
        <v>1506</v>
      </c>
      <c r="D19" s="108" t="s">
        <v>1505</v>
      </c>
      <c r="E19" t="s">
        <v>1273</v>
      </c>
      <c r="G19" s="131">
        <f t="shared" si="1"/>
        <v>46303</v>
      </c>
    </row>
    <row r="20" spans="2:7" ht="14.25" hidden="1">
      <c r="B20" s="128" t="s">
        <v>1505</v>
      </c>
      <c r="C20" s="128" t="s">
        <v>1507</v>
      </c>
      <c r="D20" s="108" t="s">
        <v>1505</v>
      </c>
      <c r="E20" t="s">
        <v>1273</v>
      </c>
      <c r="G20" s="131">
        <f t="shared" si="1"/>
        <v>46303</v>
      </c>
    </row>
    <row r="21" spans="2:7" ht="14.25" hidden="1">
      <c r="B21" s="128" t="s">
        <v>1502</v>
      </c>
      <c r="C21" s="128" t="s">
        <v>1508</v>
      </c>
      <c r="D21" s="108" t="s">
        <v>1502</v>
      </c>
      <c r="E21" t="s">
        <v>1273</v>
      </c>
      <c r="G21" s="131">
        <f t="shared" si="1"/>
        <v>46303</v>
      </c>
    </row>
    <row r="22" spans="2:7" ht="14.25" hidden="1">
      <c r="B22" s="128" t="s">
        <v>1509</v>
      </c>
      <c r="C22" s="128" t="s">
        <v>1510</v>
      </c>
      <c r="D22" s="108" t="s">
        <v>1509</v>
      </c>
      <c r="E22" t="s">
        <v>1273</v>
      </c>
      <c r="G22" s="131">
        <f t="shared" si="1"/>
        <v>46303</v>
      </c>
    </row>
    <row r="23" spans="2:7" ht="14.25" hidden="1">
      <c r="B23" s="128" t="s">
        <v>1511</v>
      </c>
      <c r="C23" s="128" t="s">
        <v>1512</v>
      </c>
      <c r="D23" s="108" t="s">
        <v>1513</v>
      </c>
      <c r="E23" t="s">
        <v>1273</v>
      </c>
      <c r="G23" s="131">
        <f t="shared" si="1"/>
        <v>46303</v>
      </c>
    </row>
    <row r="24" spans="2:7" ht="14.25" hidden="1">
      <c r="B24" s="128" t="s">
        <v>1483</v>
      </c>
      <c r="C24" s="128" t="s">
        <v>1514</v>
      </c>
      <c r="D24" s="108" t="s">
        <v>1483</v>
      </c>
      <c r="E24" t="s">
        <v>1273</v>
      </c>
      <c r="G24" s="131">
        <f t="shared" si="1"/>
        <v>46303</v>
      </c>
    </row>
    <row r="25" spans="2:7" ht="14.25" hidden="1">
      <c r="B25" s="128" t="s">
        <v>1502</v>
      </c>
      <c r="C25" s="128" t="s">
        <v>1515</v>
      </c>
      <c r="D25" s="108" t="s">
        <v>1502</v>
      </c>
      <c r="E25" t="s">
        <v>1273</v>
      </c>
      <c r="G25" s="131">
        <f t="shared" si="1"/>
        <v>46303</v>
      </c>
    </row>
    <row r="26" spans="2:7" ht="14.25" hidden="1">
      <c r="B26" s="128" t="s">
        <v>1516</v>
      </c>
      <c r="C26" s="128" t="s">
        <v>1517</v>
      </c>
      <c r="D26" s="108" t="s">
        <v>1516</v>
      </c>
      <c r="E26" t="s">
        <v>1273</v>
      </c>
      <c r="G26" s="131">
        <f t="shared" si="1"/>
        <v>46303</v>
      </c>
    </row>
    <row r="27" spans="2:7" ht="14.25" hidden="1">
      <c r="B27" s="128" t="s">
        <v>1479</v>
      </c>
      <c r="C27" s="128" t="s">
        <v>1518</v>
      </c>
      <c r="D27" s="108" t="s">
        <v>1479</v>
      </c>
      <c r="E27" t="s">
        <v>1273</v>
      </c>
      <c r="G27" s="131">
        <f t="shared" si="1"/>
        <v>46303</v>
      </c>
    </row>
    <row r="28" spans="2:7" ht="14.25" hidden="1">
      <c r="B28" s="128" t="s">
        <v>1519</v>
      </c>
      <c r="C28" s="128" t="s">
        <v>1520</v>
      </c>
      <c r="D28" s="108" t="s">
        <v>1521</v>
      </c>
      <c r="E28" t="s">
        <v>1273</v>
      </c>
      <c r="G28" s="131">
        <f>DATE(2026,10,7)</f>
        <v>46302</v>
      </c>
    </row>
    <row r="29" spans="2:7" ht="14.25" hidden="1">
      <c r="B29" s="128" t="s">
        <v>455</v>
      </c>
      <c r="C29" s="128" t="s">
        <v>1522</v>
      </c>
      <c r="D29" s="108" t="s">
        <v>455</v>
      </c>
      <c r="E29" t="s">
        <v>1273</v>
      </c>
      <c r="G29" s="131">
        <f t="shared" ref="G29:G30" si="2">DATE(2026,10,8)</f>
        <v>46303</v>
      </c>
    </row>
    <row r="30" spans="2:7" ht="14.25" hidden="1">
      <c r="B30" s="128" t="s">
        <v>1523</v>
      </c>
      <c r="C30" s="128" t="s">
        <v>1524</v>
      </c>
      <c r="D30" s="108" t="s">
        <v>1523</v>
      </c>
      <c r="E30" t="s">
        <v>1273</v>
      </c>
      <c r="G30" s="131">
        <f t="shared" si="2"/>
        <v>46303</v>
      </c>
    </row>
    <row r="31" spans="2:7" ht="14.25">
      <c r="B31" s="116" t="s">
        <v>423</v>
      </c>
      <c r="C31" s="116" t="s">
        <v>1340</v>
      </c>
      <c r="D31" s="121" t="s">
        <v>423</v>
      </c>
      <c r="E31" t="s">
        <v>1278</v>
      </c>
    </row>
    <row r="32" spans="2:7" ht="14.25" hidden="1">
      <c r="B32" s="128" t="s">
        <v>1525</v>
      </c>
      <c r="C32" s="128" t="s">
        <v>1526</v>
      </c>
      <c r="D32" s="108" t="s">
        <v>1527</v>
      </c>
      <c r="E32" t="s">
        <v>1273</v>
      </c>
      <c r="G32" s="131">
        <f>DATE(2026,10,7)</f>
        <v>46302</v>
      </c>
    </row>
    <row r="33" spans="2:7" ht="14.25" hidden="1">
      <c r="B33" s="128" t="s">
        <v>1528</v>
      </c>
      <c r="C33" s="128" t="s">
        <v>1529</v>
      </c>
      <c r="D33" s="108" t="s">
        <v>1528</v>
      </c>
      <c r="E33" t="s">
        <v>1273</v>
      </c>
      <c r="G33" s="131">
        <f t="shared" ref="G33:G37" si="3">DATE(2026,10,8)</f>
        <v>46303</v>
      </c>
    </row>
    <row r="34" spans="2:7" ht="14.25" hidden="1">
      <c r="B34" s="128" t="s">
        <v>1489</v>
      </c>
      <c r="C34" s="128" t="s">
        <v>1530</v>
      </c>
      <c r="D34" s="108" t="s">
        <v>1489</v>
      </c>
      <c r="E34" t="s">
        <v>1273</v>
      </c>
      <c r="G34" s="131">
        <f t="shared" si="3"/>
        <v>46303</v>
      </c>
    </row>
    <row r="35" spans="2:7" ht="14.25" hidden="1">
      <c r="B35" s="128" t="s">
        <v>1531</v>
      </c>
      <c r="C35" s="128" t="s">
        <v>1532</v>
      </c>
      <c r="D35" s="108" t="s">
        <v>1531</v>
      </c>
      <c r="E35" t="s">
        <v>1273</v>
      </c>
      <c r="G35" s="131">
        <f t="shared" si="3"/>
        <v>46303</v>
      </c>
    </row>
    <row r="36" spans="2:7" ht="14.25" hidden="1">
      <c r="B36" s="128" t="s">
        <v>1505</v>
      </c>
      <c r="C36" s="128" t="s">
        <v>1533</v>
      </c>
      <c r="D36" s="108" t="s">
        <v>1505</v>
      </c>
      <c r="E36" t="s">
        <v>1273</v>
      </c>
      <c r="G36" s="131">
        <f t="shared" si="3"/>
        <v>46303</v>
      </c>
    </row>
    <row r="37" spans="2:7" ht="14.25" hidden="1">
      <c r="B37" s="128" t="s">
        <v>1502</v>
      </c>
      <c r="C37" s="128" t="s">
        <v>1534</v>
      </c>
      <c r="D37" s="108" t="s">
        <v>1502</v>
      </c>
      <c r="E37" t="s">
        <v>1273</v>
      </c>
      <c r="G37" s="131">
        <f t="shared" si="3"/>
        <v>46303</v>
      </c>
    </row>
    <row r="38" spans="2:7" ht="14.25" hidden="1">
      <c r="B38" s="128" t="s">
        <v>1519</v>
      </c>
      <c r="C38" s="128" t="s">
        <v>1535</v>
      </c>
      <c r="D38" s="108" t="s">
        <v>1536</v>
      </c>
      <c r="E38" t="s">
        <v>1273</v>
      </c>
      <c r="G38" s="131">
        <f t="shared" ref="G38:G39" si="4">DATE(2026,10,7)</f>
        <v>46302</v>
      </c>
    </row>
    <row r="39" spans="2:7" ht="14.25" hidden="1">
      <c r="B39" s="128" t="s">
        <v>1519</v>
      </c>
      <c r="C39" s="128" t="s">
        <v>1537</v>
      </c>
      <c r="D39" s="108" t="s">
        <v>1538</v>
      </c>
      <c r="E39" t="s">
        <v>1273</v>
      </c>
      <c r="G39" s="131">
        <f t="shared" si="4"/>
        <v>46302</v>
      </c>
    </row>
    <row r="40" spans="2:7" ht="14.25" hidden="1">
      <c r="B40" s="128" t="s">
        <v>1502</v>
      </c>
      <c r="C40" s="128" t="s">
        <v>1539</v>
      </c>
      <c r="D40" s="108" t="s">
        <v>1502</v>
      </c>
      <c r="E40" t="s">
        <v>1273</v>
      </c>
      <c r="G40" s="131">
        <f t="shared" ref="G40:G41" si="5">DATE(2026,10,8)</f>
        <v>46303</v>
      </c>
    </row>
    <row r="41" spans="2:7" ht="14.25" hidden="1">
      <c r="B41" s="128" t="s">
        <v>1540</v>
      </c>
      <c r="C41" s="128" t="s">
        <v>1541</v>
      </c>
      <c r="D41" s="108" t="s">
        <v>1540</v>
      </c>
      <c r="E41" t="s">
        <v>1273</v>
      </c>
      <c r="G41" s="131">
        <f t="shared" si="5"/>
        <v>46303</v>
      </c>
    </row>
    <row r="42" spans="2:7" ht="14.25">
      <c r="B42" s="116" t="s">
        <v>35</v>
      </c>
      <c r="C42" s="116" t="s">
        <v>1349</v>
      </c>
      <c r="D42" s="121" t="s">
        <v>35</v>
      </c>
      <c r="E42" t="s">
        <v>1278</v>
      </c>
    </row>
    <row r="43" spans="2:7" ht="14.25" hidden="1">
      <c r="B43" s="128" t="s">
        <v>1479</v>
      </c>
      <c r="C43" s="128" t="s">
        <v>1542</v>
      </c>
      <c r="D43" s="108" t="s">
        <v>1540</v>
      </c>
      <c r="E43" t="s">
        <v>1273</v>
      </c>
      <c r="G43" s="131">
        <f>DATE(2026,10,8)</f>
        <v>46303</v>
      </c>
    </row>
    <row r="44" spans="2:7" ht="14.25" hidden="1">
      <c r="B44" s="128" t="s">
        <v>1292</v>
      </c>
      <c r="C44" s="128" t="s">
        <v>1330</v>
      </c>
      <c r="D44" s="108" t="s">
        <v>1543</v>
      </c>
      <c r="E44" t="s">
        <v>1273</v>
      </c>
      <c r="G44" s="131">
        <f>DATE(2026,10,7)</f>
        <v>46302</v>
      </c>
    </row>
    <row r="45" spans="2:7" ht="14.25" hidden="1">
      <c r="B45" s="128" t="s">
        <v>1339</v>
      </c>
      <c r="C45" s="128" t="s">
        <v>1338</v>
      </c>
      <c r="D45" s="108" t="s">
        <v>1339</v>
      </c>
      <c r="E45" t="s">
        <v>1273</v>
      </c>
      <c r="G45" s="131">
        <f>DATE(2026,10,8)</f>
        <v>46303</v>
      </c>
    </row>
    <row r="46" spans="2:7" ht="14.25" hidden="1">
      <c r="B46" s="128" t="s">
        <v>1519</v>
      </c>
      <c r="C46" s="128" t="s">
        <v>1544</v>
      </c>
      <c r="D46" s="108" t="s">
        <v>1545</v>
      </c>
      <c r="E46" t="s">
        <v>1273</v>
      </c>
      <c r="G46" s="131">
        <f>DATE(2026,10,7)</f>
        <v>46302</v>
      </c>
    </row>
    <row r="47" spans="2:7" ht="14.25" hidden="1">
      <c r="B47" s="128" t="s">
        <v>1502</v>
      </c>
      <c r="C47" s="128" t="s">
        <v>1546</v>
      </c>
      <c r="D47" s="108" t="s">
        <v>1502</v>
      </c>
      <c r="E47" t="s">
        <v>1273</v>
      </c>
      <c r="G47" s="131">
        <f>DATE(2026,10,8)</f>
        <v>46303</v>
      </c>
    </row>
    <row r="48" spans="2:7" ht="14.25" hidden="1">
      <c r="B48" s="128" t="s">
        <v>1519</v>
      </c>
      <c r="C48" s="128" t="s">
        <v>1547</v>
      </c>
      <c r="D48" s="108" t="s">
        <v>1548</v>
      </c>
      <c r="E48" t="s">
        <v>1273</v>
      </c>
      <c r="G48" s="131">
        <f>DATE(2026,10,7)</f>
        <v>46302</v>
      </c>
    </row>
    <row r="49" spans="2:7" ht="14.25" hidden="1">
      <c r="B49" s="128" t="s">
        <v>1502</v>
      </c>
      <c r="C49" s="130" t="s">
        <v>1549</v>
      </c>
      <c r="D49" s="108" t="s">
        <v>1502</v>
      </c>
      <c r="E49" t="s">
        <v>1273</v>
      </c>
      <c r="G49" s="131">
        <f t="shared" ref="G49:G55" si="6">DATE(2026,10,8)</f>
        <v>46303</v>
      </c>
    </row>
    <row r="50" spans="2:7" ht="14.25" hidden="1">
      <c r="B50" s="128" t="s">
        <v>1550</v>
      </c>
      <c r="C50" s="130" t="s">
        <v>1551</v>
      </c>
      <c r="D50" s="108" t="s">
        <v>1550</v>
      </c>
      <c r="E50" t="s">
        <v>1273</v>
      </c>
      <c r="G50" s="131">
        <f t="shared" si="6"/>
        <v>46303</v>
      </c>
    </row>
    <row r="51" spans="2:7" ht="14.25" hidden="1">
      <c r="B51" s="128" t="s">
        <v>1479</v>
      </c>
      <c r="C51" s="128" t="s">
        <v>1552</v>
      </c>
      <c r="D51" s="108" t="s">
        <v>1479</v>
      </c>
      <c r="E51" t="s">
        <v>1273</v>
      </c>
      <c r="G51" s="131">
        <f t="shared" si="6"/>
        <v>46303</v>
      </c>
    </row>
    <row r="52" spans="2:7" ht="14.25" hidden="1">
      <c r="B52" s="128" t="s">
        <v>1479</v>
      </c>
      <c r="C52" s="128" t="s">
        <v>1553</v>
      </c>
      <c r="D52" s="108" t="s">
        <v>1479</v>
      </c>
      <c r="E52" t="s">
        <v>1273</v>
      </c>
      <c r="G52" s="131">
        <f t="shared" si="6"/>
        <v>46303</v>
      </c>
    </row>
    <row r="53" spans="2:7" ht="14.25" hidden="1">
      <c r="B53" s="128" t="s">
        <v>1479</v>
      </c>
      <c r="C53" s="128" t="s">
        <v>1554</v>
      </c>
      <c r="D53" s="108" t="s">
        <v>1479</v>
      </c>
      <c r="E53" t="s">
        <v>1273</v>
      </c>
      <c r="G53" s="131">
        <f t="shared" si="6"/>
        <v>46303</v>
      </c>
    </row>
    <row r="54" spans="2:7" ht="14.25" hidden="1">
      <c r="B54" s="128" t="s">
        <v>120</v>
      </c>
      <c r="C54" s="128" t="s">
        <v>1555</v>
      </c>
      <c r="D54" s="108" t="s">
        <v>120</v>
      </c>
      <c r="E54" t="s">
        <v>1273</v>
      </c>
      <c r="G54" s="131">
        <f t="shared" si="6"/>
        <v>46303</v>
      </c>
    </row>
    <row r="55" spans="2:7" ht="14.25" hidden="1">
      <c r="B55" s="128" t="s">
        <v>1505</v>
      </c>
      <c r="C55" s="128" t="s">
        <v>1556</v>
      </c>
      <c r="D55" s="108" t="s">
        <v>1505</v>
      </c>
      <c r="E55" t="s">
        <v>1273</v>
      </c>
      <c r="G55" s="131">
        <f t="shared" si="6"/>
        <v>46303</v>
      </c>
    </row>
    <row r="56" spans="2:7" ht="14.25" hidden="1">
      <c r="B56" s="166" t="s">
        <v>1296</v>
      </c>
      <c r="C56" s="166" t="s">
        <v>1557</v>
      </c>
      <c r="D56" s="167" t="s">
        <v>1296</v>
      </c>
      <c r="E56" t="s">
        <v>1558</v>
      </c>
    </row>
    <row r="57" spans="2:7" ht="14.25" hidden="1">
      <c r="B57" s="128" t="s">
        <v>1479</v>
      </c>
      <c r="C57" s="128" t="s">
        <v>1559</v>
      </c>
      <c r="D57" s="108" t="s">
        <v>1479</v>
      </c>
      <c r="E57" t="s">
        <v>1273</v>
      </c>
      <c r="G57" s="131">
        <f t="shared" ref="G57:G58" si="7">DATE(2026,10,8)</f>
        <v>46303</v>
      </c>
    </row>
    <row r="58" spans="2:7" ht="14.25" hidden="1">
      <c r="B58" s="128" t="s">
        <v>1560</v>
      </c>
      <c r="C58" s="130" t="s">
        <v>1561</v>
      </c>
      <c r="D58" s="108" t="s">
        <v>1560</v>
      </c>
      <c r="E58" t="s">
        <v>1273</v>
      </c>
      <c r="G58" s="131">
        <f t="shared" si="7"/>
        <v>46303</v>
      </c>
    </row>
    <row r="59" spans="2:7" ht="14.25" hidden="1">
      <c r="B59" s="128" t="s">
        <v>1562</v>
      </c>
      <c r="C59" s="128" t="s">
        <v>1563</v>
      </c>
      <c r="D59" s="108" t="s">
        <v>1564</v>
      </c>
      <c r="E59" t="s">
        <v>1273</v>
      </c>
      <c r="G59" s="131">
        <f>DATE(2026,10,7)</f>
        <v>46302</v>
      </c>
    </row>
    <row r="60" spans="2:7" ht="14.25" hidden="1">
      <c r="B60" s="128" t="s">
        <v>1502</v>
      </c>
      <c r="C60" s="128" t="s">
        <v>1565</v>
      </c>
      <c r="D60" s="108" t="s">
        <v>1502</v>
      </c>
      <c r="E60" t="s">
        <v>1273</v>
      </c>
      <c r="G60" s="131">
        <f t="shared" ref="G60:G63" si="8">DATE(2026,10,8)</f>
        <v>46303</v>
      </c>
    </row>
    <row r="61" spans="2:7" ht="14.25" hidden="1">
      <c r="B61" s="128" t="s">
        <v>1502</v>
      </c>
      <c r="C61" s="128" t="s">
        <v>1566</v>
      </c>
      <c r="D61" s="108" t="s">
        <v>1502</v>
      </c>
      <c r="E61" t="s">
        <v>1273</v>
      </c>
      <c r="G61" s="131">
        <f t="shared" si="8"/>
        <v>46303</v>
      </c>
    </row>
    <row r="62" spans="2:7" ht="14.25" hidden="1">
      <c r="B62" s="128" t="s">
        <v>1479</v>
      </c>
      <c r="C62" s="128" t="s">
        <v>1567</v>
      </c>
      <c r="D62" s="108" t="s">
        <v>1479</v>
      </c>
      <c r="E62" t="s">
        <v>1273</v>
      </c>
      <c r="G62" s="131">
        <f t="shared" si="8"/>
        <v>46303</v>
      </c>
    </row>
    <row r="63" spans="2:7" ht="14.25" hidden="1">
      <c r="B63" s="128" t="s">
        <v>1568</v>
      </c>
      <c r="C63" s="128" t="s">
        <v>1569</v>
      </c>
      <c r="D63" s="108" t="s">
        <v>1568</v>
      </c>
      <c r="E63" t="s">
        <v>1273</v>
      </c>
      <c r="G63" s="131">
        <f t="shared" si="8"/>
        <v>46303</v>
      </c>
    </row>
    <row r="64" spans="2:7" ht="14.25" hidden="1">
      <c r="B64" s="128" t="s">
        <v>1519</v>
      </c>
      <c r="C64" s="128" t="s">
        <v>1570</v>
      </c>
      <c r="D64" s="128" t="s">
        <v>1571</v>
      </c>
      <c r="E64" t="s">
        <v>1273</v>
      </c>
      <c r="G64" s="131">
        <f>DATE(2026,10,7)</f>
        <v>46302</v>
      </c>
    </row>
    <row r="65" spans="2:7" ht="14.25" hidden="1">
      <c r="B65" s="128" t="s">
        <v>1523</v>
      </c>
      <c r="C65" s="130" t="s">
        <v>1572</v>
      </c>
      <c r="D65" s="108" t="s">
        <v>1523</v>
      </c>
      <c r="E65" t="s">
        <v>1273</v>
      </c>
      <c r="G65" s="131">
        <f t="shared" ref="G65:G67" si="9">DATE(2026,10,8)</f>
        <v>46303</v>
      </c>
    </row>
    <row r="66" spans="2:7" ht="14.25" hidden="1">
      <c r="B66" s="128" t="s">
        <v>1502</v>
      </c>
      <c r="C66" s="128" t="s">
        <v>1573</v>
      </c>
      <c r="D66" s="128" t="s">
        <v>1574</v>
      </c>
      <c r="E66" t="s">
        <v>1273</v>
      </c>
      <c r="G66" s="131">
        <f t="shared" si="9"/>
        <v>46303</v>
      </c>
    </row>
    <row r="67" spans="2:7" ht="14.25" hidden="1">
      <c r="B67" s="128" t="s">
        <v>1575</v>
      </c>
      <c r="C67" s="128" t="s">
        <v>1576</v>
      </c>
      <c r="D67" s="108" t="s">
        <v>1575</v>
      </c>
      <c r="E67" t="s">
        <v>1273</v>
      </c>
      <c r="G67" s="131">
        <f t="shared" si="9"/>
        <v>46303</v>
      </c>
    </row>
    <row r="68" spans="2:7" ht="14.25" hidden="1">
      <c r="B68" s="128" t="s">
        <v>1519</v>
      </c>
      <c r="C68" s="128" t="s">
        <v>1577</v>
      </c>
      <c r="D68" s="128" t="s">
        <v>1578</v>
      </c>
      <c r="E68" t="s">
        <v>1273</v>
      </c>
      <c r="G68" s="131">
        <f>DATE(2026,10,7)</f>
        <v>46302</v>
      </c>
    </row>
    <row r="69" spans="2:7" ht="14.25" hidden="1">
      <c r="B69" s="128" t="s">
        <v>1579</v>
      </c>
      <c r="C69" s="130" t="s">
        <v>1580</v>
      </c>
      <c r="D69" s="128" t="s">
        <v>1581</v>
      </c>
      <c r="E69" t="s">
        <v>1273</v>
      </c>
      <c r="G69" s="131">
        <f t="shared" ref="G69:G71" si="10">DATE(2026,10,8)</f>
        <v>46303</v>
      </c>
    </row>
    <row r="70" spans="2:7" ht="14.25" hidden="1">
      <c r="B70" s="128" t="s">
        <v>1582</v>
      </c>
      <c r="C70" s="128" t="s">
        <v>1583</v>
      </c>
      <c r="D70" s="111" t="s">
        <v>1582</v>
      </c>
      <c r="E70" t="s">
        <v>1273</v>
      </c>
      <c r="G70" s="131">
        <f t="shared" si="10"/>
        <v>46303</v>
      </c>
    </row>
    <row r="71" spans="2:7" ht="14.25" hidden="1">
      <c r="B71" s="128" t="s">
        <v>1479</v>
      </c>
      <c r="C71" s="128" t="s">
        <v>1584</v>
      </c>
      <c r="D71" s="128" t="s">
        <v>1585</v>
      </c>
      <c r="E71" t="s">
        <v>1273</v>
      </c>
      <c r="G71" s="131">
        <f t="shared" si="10"/>
        <v>46303</v>
      </c>
    </row>
    <row r="72" spans="2:7" ht="14.25" hidden="1">
      <c r="B72" s="128" t="s">
        <v>1432</v>
      </c>
      <c r="C72" s="128" t="s">
        <v>1586</v>
      </c>
      <c r="D72" s="128" t="s">
        <v>1587</v>
      </c>
      <c r="E72" t="s">
        <v>1273</v>
      </c>
      <c r="G72" s="131">
        <f t="shared" ref="G72:G73" si="11">DATE(2026,10,7)</f>
        <v>46302</v>
      </c>
    </row>
    <row r="73" spans="2:7" ht="14.25" hidden="1">
      <c r="B73" s="128" t="s">
        <v>1519</v>
      </c>
      <c r="C73" s="128" t="s">
        <v>1588</v>
      </c>
      <c r="D73" s="128" t="s">
        <v>1589</v>
      </c>
      <c r="E73" t="s">
        <v>1273</v>
      </c>
      <c r="G73" s="131">
        <f t="shared" si="11"/>
        <v>46302</v>
      </c>
    </row>
    <row r="74" spans="2:7" ht="14.25" hidden="1">
      <c r="B74" s="128" t="s">
        <v>1550</v>
      </c>
      <c r="C74" s="130" t="s">
        <v>1590</v>
      </c>
      <c r="D74" s="128" t="s">
        <v>1591</v>
      </c>
      <c r="E74" t="s">
        <v>1273</v>
      </c>
      <c r="G74" s="131">
        <f>DATE(2026,10,8)</f>
        <v>46303</v>
      </c>
    </row>
    <row r="75" spans="2:7" ht="14.25">
      <c r="B75" s="116" t="s">
        <v>415</v>
      </c>
      <c r="C75" s="116" t="s">
        <v>1357</v>
      </c>
      <c r="D75" s="118" t="s">
        <v>1592</v>
      </c>
      <c r="E75" t="s">
        <v>1278</v>
      </c>
    </row>
    <row r="76" spans="2:7" ht="14.25" hidden="1">
      <c r="B76" s="128" t="s">
        <v>1519</v>
      </c>
      <c r="C76" s="128" t="s">
        <v>1593</v>
      </c>
      <c r="D76" s="128" t="s">
        <v>1594</v>
      </c>
      <c r="E76" t="s">
        <v>1273</v>
      </c>
      <c r="G76" s="131">
        <f>DATE(2026,10,7)</f>
        <v>46302</v>
      </c>
    </row>
    <row r="77" spans="2:7" ht="14.25" hidden="1">
      <c r="B77" s="128" t="s">
        <v>1502</v>
      </c>
      <c r="C77" s="128" t="s">
        <v>1595</v>
      </c>
      <c r="D77" s="128" t="s">
        <v>1596</v>
      </c>
      <c r="E77" t="s">
        <v>1273</v>
      </c>
      <c r="G77" s="131">
        <f t="shared" ref="G77:G82" si="12">DATE(2026,10,8)</f>
        <v>46303</v>
      </c>
    </row>
    <row r="78" spans="2:7" ht="14.25" hidden="1">
      <c r="B78" s="128" t="s">
        <v>1483</v>
      </c>
      <c r="C78" s="130" t="s">
        <v>1597</v>
      </c>
      <c r="D78" s="128" t="s">
        <v>1598</v>
      </c>
      <c r="E78" t="s">
        <v>1273</v>
      </c>
      <c r="G78" s="131">
        <f t="shared" si="12"/>
        <v>46303</v>
      </c>
    </row>
    <row r="79" spans="2:7" ht="14.25" hidden="1">
      <c r="B79" s="128" t="s">
        <v>1502</v>
      </c>
      <c r="C79" s="128" t="s">
        <v>1599</v>
      </c>
      <c r="D79" s="128" t="s">
        <v>1600</v>
      </c>
      <c r="E79" t="s">
        <v>1273</v>
      </c>
      <c r="G79" s="131">
        <f t="shared" si="12"/>
        <v>46303</v>
      </c>
    </row>
    <row r="80" spans="2:7" ht="14.25" hidden="1">
      <c r="B80" s="128" t="s">
        <v>1505</v>
      </c>
      <c r="C80" s="128" t="s">
        <v>1601</v>
      </c>
      <c r="D80" s="108" t="s">
        <v>1505</v>
      </c>
      <c r="E80" t="s">
        <v>1273</v>
      </c>
      <c r="G80" s="131">
        <f t="shared" si="12"/>
        <v>46303</v>
      </c>
    </row>
    <row r="81" spans="2:7" ht="14.25" hidden="1">
      <c r="B81" s="128" t="s">
        <v>1479</v>
      </c>
      <c r="C81" s="128" t="s">
        <v>1602</v>
      </c>
      <c r="D81" s="128" t="s">
        <v>1603</v>
      </c>
      <c r="E81" t="s">
        <v>1273</v>
      </c>
      <c r="G81" s="131">
        <f t="shared" si="12"/>
        <v>46303</v>
      </c>
    </row>
    <row r="82" spans="2:7" ht="14.25" hidden="1">
      <c r="B82" s="128" t="s">
        <v>1483</v>
      </c>
      <c r="C82" s="128" t="s">
        <v>1604</v>
      </c>
      <c r="D82" s="128" t="s">
        <v>1605</v>
      </c>
      <c r="E82" t="s">
        <v>1273</v>
      </c>
      <c r="G82" s="131">
        <f t="shared" si="12"/>
        <v>46303</v>
      </c>
    </row>
    <row r="83" spans="2:7" ht="14.25" hidden="1">
      <c r="B83" s="128" t="s">
        <v>1519</v>
      </c>
      <c r="C83" s="128" t="s">
        <v>1606</v>
      </c>
      <c r="D83" s="128" t="s">
        <v>1607</v>
      </c>
      <c r="E83" t="s">
        <v>1273</v>
      </c>
      <c r="G83" s="131">
        <f>DATE(2026,10,7)</f>
        <v>46302</v>
      </c>
    </row>
    <row r="84" spans="2:7" ht="14.25">
      <c r="B84" s="116" t="s">
        <v>823</v>
      </c>
      <c r="C84" s="116" t="s">
        <v>1404</v>
      </c>
      <c r="D84" s="117" t="s">
        <v>823</v>
      </c>
      <c r="E84" t="s">
        <v>1278</v>
      </c>
    </row>
    <row r="85" spans="2:7" ht="14.25" hidden="1">
      <c r="B85" s="128" t="s">
        <v>1479</v>
      </c>
      <c r="C85" s="130" t="s">
        <v>1608</v>
      </c>
      <c r="D85" s="128" t="s">
        <v>1609</v>
      </c>
      <c r="E85" t="s">
        <v>1273</v>
      </c>
      <c r="G85" s="131">
        <f>DATE(2026,10,8)</f>
        <v>46303</v>
      </c>
    </row>
    <row r="86" spans="2:7" ht="14.25" hidden="1">
      <c r="B86" s="128" t="s">
        <v>1505</v>
      </c>
      <c r="C86" s="128" t="s">
        <v>1610</v>
      </c>
      <c r="D86" s="108" t="s">
        <v>1505</v>
      </c>
      <c r="E86" t="s">
        <v>1273</v>
      </c>
      <c r="G86" s="131">
        <f t="shared" ref="G85:G86" si="13">DATE(2026,10,8)</f>
        <v>46303</v>
      </c>
    </row>
    <row r="87" spans="2:7" ht="14.25" hidden="1">
      <c r="B87" s="128" t="s">
        <v>1611</v>
      </c>
      <c r="C87" s="128" t="s">
        <v>1612</v>
      </c>
      <c r="D87" s="128" t="s">
        <v>1613</v>
      </c>
      <c r="E87" t="s">
        <v>1273</v>
      </c>
      <c r="G87" s="131">
        <f>DATE(2026,10,7)</f>
        <v>46302</v>
      </c>
    </row>
    <row r="88" spans="2:7" ht="14.25" hidden="1">
      <c r="B88" s="128" t="s">
        <v>1502</v>
      </c>
      <c r="C88" s="128" t="s">
        <v>1614</v>
      </c>
      <c r="D88" s="128" t="s">
        <v>1615</v>
      </c>
      <c r="E88" t="s">
        <v>1273</v>
      </c>
      <c r="G88" s="131">
        <f t="shared" ref="G88:G89" si="14">DATE(2026,10,8)</f>
        <v>46303</v>
      </c>
    </row>
    <row r="89" spans="2:7" ht="14.25" hidden="1">
      <c r="B89" s="128" t="s">
        <v>1502</v>
      </c>
      <c r="C89" s="128" t="s">
        <v>1616</v>
      </c>
      <c r="D89" s="128" t="s">
        <v>1617</v>
      </c>
      <c r="E89" t="s">
        <v>1273</v>
      </c>
      <c r="G89" s="131">
        <f t="shared" si="14"/>
        <v>46303</v>
      </c>
    </row>
    <row r="90" spans="2:7" ht="14.25">
      <c r="B90" s="116" t="s">
        <v>19</v>
      </c>
      <c r="C90" s="116" t="s">
        <v>1395</v>
      </c>
      <c r="D90" s="121" t="s">
        <v>19</v>
      </c>
      <c r="E90" t="s">
        <v>1278</v>
      </c>
    </row>
    <row r="91" spans="2:7" ht="14.25" hidden="1">
      <c r="B91" s="128" t="s">
        <v>1502</v>
      </c>
      <c r="C91" s="128" t="s">
        <v>1618</v>
      </c>
      <c r="D91" s="128" t="s">
        <v>1619</v>
      </c>
      <c r="E91" t="s">
        <v>1273</v>
      </c>
      <c r="G91" s="131">
        <f t="shared" ref="G91:G96" si="15">DATE(2026,10,8)</f>
        <v>46303</v>
      </c>
    </row>
    <row r="92" spans="2:7" ht="14.25" hidden="1">
      <c r="B92" s="128" t="s">
        <v>1502</v>
      </c>
      <c r="C92" s="128" t="s">
        <v>1620</v>
      </c>
      <c r="D92" s="128" t="s">
        <v>1621</v>
      </c>
      <c r="E92" t="s">
        <v>1273</v>
      </c>
      <c r="G92" s="131">
        <f t="shared" si="15"/>
        <v>46303</v>
      </c>
    </row>
    <row r="93" spans="2:7" ht="14.25" hidden="1">
      <c r="B93" s="128" t="s">
        <v>1505</v>
      </c>
      <c r="C93" s="128" t="s">
        <v>1622</v>
      </c>
      <c r="D93" s="108" t="s">
        <v>1505</v>
      </c>
      <c r="E93" t="s">
        <v>1273</v>
      </c>
      <c r="G93" s="131">
        <f t="shared" si="15"/>
        <v>46303</v>
      </c>
    </row>
    <row r="94" spans="2:7" ht="14.25" hidden="1">
      <c r="B94" s="128" t="s">
        <v>1479</v>
      </c>
      <c r="C94" s="128" t="s">
        <v>1623</v>
      </c>
      <c r="D94" s="128" t="s">
        <v>1624</v>
      </c>
      <c r="E94" t="s">
        <v>1273</v>
      </c>
      <c r="G94" s="131">
        <f t="shared" si="15"/>
        <v>46303</v>
      </c>
    </row>
    <row r="95" spans="2:7" ht="14.25" hidden="1">
      <c r="B95" s="128" t="s">
        <v>1466</v>
      </c>
      <c r="C95" s="128" t="s">
        <v>1625</v>
      </c>
      <c r="D95" s="108" t="s">
        <v>1626</v>
      </c>
      <c r="E95" t="s">
        <v>1273</v>
      </c>
      <c r="G95" s="131">
        <f t="shared" si="15"/>
        <v>46303</v>
      </c>
    </row>
    <row r="96" spans="2:7" ht="14.25" hidden="1">
      <c r="B96" s="128" t="s">
        <v>1505</v>
      </c>
      <c r="C96" s="128" t="s">
        <v>1627</v>
      </c>
      <c r="D96" s="108" t="s">
        <v>1505</v>
      </c>
      <c r="E96" t="s">
        <v>1273</v>
      </c>
      <c r="G96" s="131">
        <f t="shared" si="15"/>
        <v>46303</v>
      </c>
    </row>
    <row r="97" spans="2:7" ht="14.25" hidden="1">
      <c r="B97" s="128" t="s">
        <v>1519</v>
      </c>
      <c r="C97" s="128" t="s">
        <v>1628</v>
      </c>
      <c r="D97" s="128" t="s">
        <v>1629</v>
      </c>
      <c r="E97" t="s">
        <v>1273</v>
      </c>
      <c r="G97" s="131">
        <f>DATE(2026,10,7)</f>
        <v>46302</v>
      </c>
    </row>
    <row r="98" spans="2:7" ht="14.25" hidden="1">
      <c r="B98" s="128" t="s">
        <v>1479</v>
      </c>
      <c r="C98" s="128" t="s">
        <v>1630</v>
      </c>
      <c r="D98" s="128" t="s">
        <v>1631</v>
      </c>
      <c r="E98" t="s">
        <v>1273</v>
      </c>
      <c r="G98" s="131">
        <f>DATE(2026,10,8)</f>
        <v>46303</v>
      </c>
    </row>
    <row r="99" spans="2:7" ht="14.25" hidden="1">
      <c r="B99" s="134" t="s">
        <v>1632</v>
      </c>
      <c r="C99" s="134" t="s">
        <v>1633</v>
      </c>
      <c r="D99" s="135" t="s">
        <v>1634</v>
      </c>
      <c r="E99" t="s">
        <v>1558</v>
      </c>
    </row>
    <row r="100" spans="2:7" ht="14.25" hidden="1">
      <c r="B100" s="128" t="s">
        <v>1635</v>
      </c>
      <c r="C100" s="128" t="s">
        <v>1636</v>
      </c>
      <c r="D100" s="108" t="s">
        <v>1637</v>
      </c>
      <c r="E100" t="s">
        <v>1273</v>
      </c>
      <c r="G100" s="131">
        <f t="shared" ref="G100:G101" si="16">DATE(2026,10,8)</f>
        <v>46303</v>
      </c>
    </row>
    <row r="101" spans="2:7" ht="14.25" hidden="1">
      <c r="B101" s="128" t="s">
        <v>1505</v>
      </c>
      <c r="C101" s="128" t="s">
        <v>1638</v>
      </c>
      <c r="D101" s="108" t="s">
        <v>1505</v>
      </c>
      <c r="E101" t="s">
        <v>1273</v>
      </c>
      <c r="G101" s="131">
        <f t="shared" si="16"/>
        <v>46303</v>
      </c>
    </row>
    <row r="102" spans="2:7" ht="14.25" hidden="1">
      <c r="B102" s="128" t="s">
        <v>1525</v>
      </c>
      <c r="C102" s="128" t="s">
        <v>1639</v>
      </c>
      <c r="D102" s="128" t="s">
        <v>1640</v>
      </c>
      <c r="E102" t="s">
        <v>1273</v>
      </c>
      <c r="G102" s="131">
        <f>DATE(2026,10,7)</f>
        <v>46302</v>
      </c>
    </row>
    <row r="103" spans="2:7" ht="14.25">
      <c r="B103" s="116" t="s">
        <v>342</v>
      </c>
      <c r="C103" s="116" t="s">
        <v>1385</v>
      </c>
      <c r="D103" s="121" t="s">
        <v>342</v>
      </c>
      <c r="E103" t="s">
        <v>1278</v>
      </c>
    </row>
    <row r="104" spans="2:7" ht="14.25" hidden="1">
      <c r="B104" s="128" t="s">
        <v>1641</v>
      </c>
      <c r="C104" s="128" t="s">
        <v>1642</v>
      </c>
      <c r="D104" s="108" t="s">
        <v>1643</v>
      </c>
      <c r="E104" t="s">
        <v>1273</v>
      </c>
      <c r="G104" s="131">
        <f>DATE(2026,10,8)</f>
        <v>46303</v>
      </c>
    </row>
    <row r="105" spans="2:7" ht="14.25">
      <c r="B105" s="116" t="s">
        <v>406</v>
      </c>
      <c r="C105" s="116" t="s">
        <v>1644</v>
      </c>
      <c r="D105" s="121" t="s">
        <v>406</v>
      </c>
      <c r="E105" t="s">
        <v>1278</v>
      </c>
    </row>
    <row r="106" spans="2:7" ht="14.25" hidden="1">
      <c r="B106" s="128" t="s">
        <v>1479</v>
      </c>
      <c r="C106" s="128" t="s">
        <v>1645</v>
      </c>
      <c r="D106" s="128" t="s">
        <v>1646</v>
      </c>
      <c r="E106" t="s">
        <v>1273</v>
      </c>
      <c r="G106" s="131">
        <f>DATE(2026,10,8)</f>
        <v>46303</v>
      </c>
    </row>
    <row r="107" spans="2:7" ht="14.25" hidden="1">
      <c r="B107" s="128" t="s">
        <v>1519</v>
      </c>
      <c r="C107" s="128" t="s">
        <v>1647</v>
      </c>
      <c r="D107" s="128" t="s">
        <v>1648</v>
      </c>
      <c r="E107" t="s">
        <v>1273</v>
      </c>
      <c r="G107" s="131">
        <f>DATE(2026,10,7)</f>
        <v>46302</v>
      </c>
    </row>
    <row r="108" spans="2:7" ht="14.25" hidden="1">
      <c r="B108" s="128" t="s">
        <v>1649</v>
      </c>
      <c r="C108" s="128" t="s">
        <v>1650</v>
      </c>
      <c r="D108" s="108" t="s">
        <v>1651</v>
      </c>
      <c r="E108" t="s">
        <v>1273</v>
      </c>
      <c r="G108" s="131">
        <f t="shared" ref="G108:G113" si="17">DATE(2026,10,8)</f>
        <v>46303</v>
      </c>
    </row>
    <row r="109" spans="2:7" ht="14.25" hidden="1">
      <c r="B109" s="128" t="s">
        <v>1483</v>
      </c>
      <c r="C109" s="128" t="s">
        <v>1652</v>
      </c>
      <c r="D109" s="128" t="s">
        <v>1653</v>
      </c>
      <c r="E109" t="s">
        <v>1273</v>
      </c>
      <c r="G109" s="131">
        <f t="shared" si="17"/>
        <v>46303</v>
      </c>
    </row>
    <row r="110" spans="2:7" ht="14.25" hidden="1">
      <c r="B110" s="128" t="s">
        <v>1654</v>
      </c>
      <c r="C110" s="128" t="s">
        <v>1655</v>
      </c>
      <c r="D110" s="128" t="s">
        <v>1656</v>
      </c>
      <c r="E110" t="s">
        <v>1273</v>
      </c>
      <c r="G110" s="131">
        <f t="shared" si="17"/>
        <v>46303</v>
      </c>
    </row>
    <row r="111" spans="2:7" ht="14.25" hidden="1">
      <c r="B111" s="128" t="s">
        <v>1657</v>
      </c>
      <c r="C111" s="128" t="s">
        <v>1658</v>
      </c>
      <c r="D111" s="108" t="s">
        <v>1659</v>
      </c>
      <c r="E111" t="s">
        <v>1273</v>
      </c>
      <c r="G111" s="131">
        <f t="shared" si="17"/>
        <v>46303</v>
      </c>
    </row>
    <row r="112" spans="2:7" ht="14.25" hidden="1">
      <c r="B112" s="128" t="s">
        <v>1660</v>
      </c>
      <c r="C112" s="128" t="s">
        <v>1661</v>
      </c>
      <c r="D112" s="128" t="s">
        <v>1662</v>
      </c>
      <c r="E112" t="s">
        <v>1273</v>
      </c>
      <c r="G112" s="131">
        <f t="shared" si="17"/>
        <v>46303</v>
      </c>
    </row>
    <row r="113" spans="2:7" ht="14.25" hidden="1">
      <c r="B113" s="128" t="s">
        <v>1663</v>
      </c>
      <c r="C113" s="128" t="s">
        <v>1664</v>
      </c>
      <c r="D113" s="108" t="s">
        <v>1665</v>
      </c>
      <c r="E113" t="s">
        <v>1273</v>
      </c>
      <c r="G113" s="131">
        <f t="shared" si="17"/>
        <v>46303</v>
      </c>
    </row>
    <row r="114" spans="2:7" ht="14.25">
      <c r="B114" s="116" t="s">
        <v>63</v>
      </c>
      <c r="C114" s="116" t="s">
        <v>1453</v>
      </c>
      <c r="D114" s="118" t="s">
        <v>63</v>
      </c>
      <c r="E114" t="s">
        <v>1278</v>
      </c>
    </row>
    <row r="115" spans="2:7" ht="14.25" hidden="1">
      <c r="B115" s="128" t="s">
        <v>1505</v>
      </c>
      <c r="C115" s="128" t="s">
        <v>1666</v>
      </c>
      <c r="D115" s="108" t="s">
        <v>1505</v>
      </c>
      <c r="E115" t="s">
        <v>1273</v>
      </c>
      <c r="G115" s="131">
        <f t="shared" ref="G115:G116" si="18">DATE(2026,10,8)</f>
        <v>46303</v>
      </c>
    </row>
    <row r="116" spans="2:7" ht="14.25" hidden="1">
      <c r="B116" s="129" t="s">
        <v>1328</v>
      </c>
      <c r="C116" s="129" t="s">
        <v>1667</v>
      </c>
      <c r="D116" s="133" t="s">
        <v>1668</v>
      </c>
      <c r="E116" t="s">
        <v>1273</v>
      </c>
      <c r="G116" s="131">
        <f t="shared" si="18"/>
        <v>46303</v>
      </c>
    </row>
    <row r="117" spans="2:7" ht="14.25" hidden="1">
      <c r="B117" s="128" t="s">
        <v>1525</v>
      </c>
      <c r="C117" s="128" t="s">
        <v>1669</v>
      </c>
      <c r="D117" s="128" t="s">
        <v>1670</v>
      </c>
      <c r="E117" t="s">
        <v>1273</v>
      </c>
      <c r="G117" s="131">
        <f>DATE(2026,10,7)</f>
        <v>46302</v>
      </c>
    </row>
    <row r="118" spans="2:7" ht="14.25" hidden="1">
      <c r="B118" s="128" t="s">
        <v>1505</v>
      </c>
      <c r="C118" s="128" t="s">
        <v>1671</v>
      </c>
      <c r="D118" s="108" t="s">
        <v>1505</v>
      </c>
      <c r="E118" t="s">
        <v>1273</v>
      </c>
      <c r="G118" s="131">
        <f t="shared" ref="G118:G122" si="19">DATE(2026,10,8)</f>
        <v>46303</v>
      </c>
    </row>
    <row r="119" spans="2:7" ht="14.25" hidden="1">
      <c r="B119" s="128" t="s">
        <v>1502</v>
      </c>
      <c r="C119" s="128" t="s">
        <v>1672</v>
      </c>
      <c r="D119" s="128" t="s">
        <v>1673</v>
      </c>
      <c r="E119" t="s">
        <v>1273</v>
      </c>
      <c r="G119" s="131">
        <f t="shared" si="19"/>
        <v>46303</v>
      </c>
    </row>
    <row r="120" spans="2:7" ht="14.25" hidden="1">
      <c r="B120" s="128" t="s">
        <v>1674</v>
      </c>
      <c r="C120" s="128" t="s">
        <v>1675</v>
      </c>
      <c r="D120" s="128" t="s">
        <v>1676</v>
      </c>
      <c r="E120" t="s">
        <v>1273</v>
      </c>
      <c r="G120" s="131">
        <f t="shared" si="19"/>
        <v>46303</v>
      </c>
    </row>
    <row r="121" spans="2:7" ht="14.25" hidden="1">
      <c r="B121" s="128" t="s">
        <v>1479</v>
      </c>
      <c r="C121" s="128" t="s">
        <v>1677</v>
      </c>
      <c r="D121" s="128" t="s">
        <v>1678</v>
      </c>
      <c r="E121" t="s">
        <v>1273</v>
      </c>
      <c r="G121" s="131">
        <f t="shared" si="19"/>
        <v>46303</v>
      </c>
    </row>
    <row r="122" spans="2:7" ht="14.25" hidden="1">
      <c r="B122" s="128" t="s">
        <v>1679</v>
      </c>
      <c r="C122" s="128" t="s">
        <v>1680</v>
      </c>
      <c r="D122" s="128" t="s">
        <v>1681</v>
      </c>
      <c r="E122" t="s">
        <v>1273</v>
      </c>
      <c r="G122" s="131">
        <f t="shared" si="19"/>
        <v>46303</v>
      </c>
    </row>
    <row r="123" spans="2:7" ht="14.25" hidden="1">
      <c r="B123" s="134" t="s">
        <v>1682</v>
      </c>
      <c r="C123" s="134" t="s">
        <v>1683</v>
      </c>
      <c r="D123" s="169" t="s">
        <v>1682</v>
      </c>
      <c r="E123" t="s">
        <v>1558</v>
      </c>
    </row>
    <row r="124" spans="2:7" ht="14.25">
      <c r="B124" s="116" t="s">
        <v>390</v>
      </c>
      <c r="C124" s="116" t="s">
        <v>1392</v>
      </c>
      <c r="D124" s="121" t="s">
        <v>390</v>
      </c>
      <c r="E124" t="s">
        <v>1278</v>
      </c>
    </row>
    <row r="125" spans="2:7" ht="14.25" hidden="1">
      <c r="B125" s="128" t="s">
        <v>1502</v>
      </c>
      <c r="C125" s="128" t="s">
        <v>1684</v>
      </c>
      <c r="D125" s="128" t="s">
        <v>1685</v>
      </c>
      <c r="E125" t="s">
        <v>1273</v>
      </c>
      <c r="G125" s="131">
        <f t="shared" ref="G125:G126" si="20">DATE(2026,10,8)</f>
        <v>46303</v>
      </c>
    </row>
    <row r="126" spans="2:7" ht="14.25" hidden="1">
      <c r="B126" s="128" t="s">
        <v>1686</v>
      </c>
      <c r="C126" s="128" t="s">
        <v>1687</v>
      </c>
      <c r="D126" s="128" t="s">
        <v>1688</v>
      </c>
      <c r="E126" t="s">
        <v>1273</v>
      </c>
      <c r="G126" s="131">
        <f t="shared" si="20"/>
        <v>46303</v>
      </c>
    </row>
    <row r="127" spans="2:7" ht="14.25">
      <c r="B127" s="116" t="s">
        <v>206</v>
      </c>
      <c r="C127" s="116" t="s">
        <v>1317</v>
      </c>
      <c r="D127" s="118" t="s">
        <v>206</v>
      </c>
      <c r="E127" t="s">
        <v>1278</v>
      </c>
    </row>
    <row r="128" spans="2:7" ht="14.25" hidden="1">
      <c r="B128" s="128" t="s">
        <v>1505</v>
      </c>
      <c r="C128" s="128" t="s">
        <v>1689</v>
      </c>
      <c r="D128" s="108" t="s">
        <v>1505</v>
      </c>
      <c r="E128" t="s">
        <v>1273</v>
      </c>
      <c r="G128" s="131">
        <f t="shared" ref="G128:G134" si="21">DATE(2026,10,8)</f>
        <v>46303</v>
      </c>
    </row>
    <row r="129" spans="2:7" ht="14.25" hidden="1">
      <c r="B129" s="128" t="s">
        <v>1690</v>
      </c>
      <c r="C129" s="128" t="s">
        <v>1691</v>
      </c>
      <c r="D129" s="108" t="s">
        <v>1692</v>
      </c>
      <c r="E129" t="s">
        <v>1273</v>
      </c>
      <c r="G129" s="131">
        <f t="shared" si="21"/>
        <v>46303</v>
      </c>
    </row>
    <row r="130" spans="2:7" ht="14.25" hidden="1">
      <c r="B130" s="128" t="s">
        <v>1505</v>
      </c>
      <c r="C130" s="130" t="s">
        <v>1693</v>
      </c>
      <c r="D130" s="108" t="s">
        <v>1505</v>
      </c>
      <c r="E130" t="s">
        <v>1273</v>
      </c>
      <c r="G130" s="131">
        <f t="shared" si="21"/>
        <v>46303</v>
      </c>
    </row>
    <row r="131" spans="2:7" ht="14.25" hidden="1">
      <c r="B131" s="128" t="s">
        <v>1694</v>
      </c>
      <c r="C131" s="128" t="s">
        <v>1695</v>
      </c>
      <c r="D131" s="128" t="s">
        <v>1696</v>
      </c>
      <c r="E131" t="s">
        <v>1273</v>
      </c>
      <c r="G131" s="131">
        <f t="shared" si="21"/>
        <v>46303</v>
      </c>
    </row>
    <row r="132" spans="2:7" ht="14.25" hidden="1">
      <c r="B132" s="128" t="s">
        <v>1502</v>
      </c>
      <c r="C132" s="128" t="s">
        <v>1697</v>
      </c>
      <c r="D132" s="128" t="s">
        <v>1698</v>
      </c>
      <c r="E132" t="s">
        <v>1273</v>
      </c>
      <c r="G132" s="131">
        <f t="shared" si="21"/>
        <v>46303</v>
      </c>
    </row>
    <row r="133" spans="2:7" ht="14.25" hidden="1">
      <c r="B133" s="129" t="s">
        <v>1635</v>
      </c>
      <c r="C133" s="129" t="s">
        <v>1699</v>
      </c>
      <c r="D133" s="133" t="s">
        <v>1700</v>
      </c>
      <c r="E133" t="s">
        <v>1273</v>
      </c>
      <c r="G133" s="131">
        <f t="shared" si="21"/>
        <v>46303</v>
      </c>
    </row>
    <row r="134" spans="2:7" ht="14.25" hidden="1">
      <c r="B134" s="128" t="s">
        <v>1505</v>
      </c>
      <c r="C134" s="128" t="s">
        <v>1701</v>
      </c>
      <c r="D134" s="108" t="s">
        <v>1505</v>
      </c>
      <c r="E134" t="s">
        <v>1273</v>
      </c>
      <c r="G134" s="131">
        <f t="shared" si="21"/>
        <v>46303</v>
      </c>
    </row>
    <row r="135" spans="2:7" ht="14.25" hidden="1">
      <c r="B135" s="128" t="s">
        <v>1519</v>
      </c>
      <c r="C135" s="128" t="s">
        <v>1702</v>
      </c>
      <c r="D135" s="128" t="s">
        <v>1703</v>
      </c>
      <c r="E135" t="s">
        <v>1273</v>
      </c>
      <c r="G135" s="131">
        <f>DATE(2026,10,7)</f>
        <v>46302</v>
      </c>
    </row>
    <row r="136" spans="2:7" ht="14.25" hidden="1">
      <c r="B136" s="128" t="s">
        <v>1502</v>
      </c>
      <c r="C136" s="128" t="s">
        <v>1704</v>
      </c>
      <c r="D136" s="128" t="s">
        <v>1705</v>
      </c>
      <c r="E136" t="s">
        <v>1273</v>
      </c>
      <c r="G136" s="131">
        <f t="shared" ref="G136:G138" si="22">DATE(2026,10,8)</f>
        <v>46303</v>
      </c>
    </row>
    <row r="137" spans="2:7" ht="14.25" hidden="1">
      <c r="B137" s="128" t="s">
        <v>1502</v>
      </c>
      <c r="C137" s="128" t="s">
        <v>1706</v>
      </c>
      <c r="D137" s="128" t="s">
        <v>1707</v>
      </c>
      <c r="E137" t="s">
        <v>1273</v>
      </c>
      <c r="G137" s="131">
        <f t="shared" si="22"/>
        <v>46303</v>
      </c>
    </row>
    <row r="138" spans="2:7" ht="14.25" hidden="1">
      <c r="B138" s="128" t="s">
        <v>1483</v>
      </c>
      <c r="C138" s="128" t="s">
        <v>1708</v>
      </c>
      <c r="D138" s="128" t="s">
        <v>1709</v>
      </c>
      <c r="E138" t="s">
        <v>1273</v>
      </c>
      <c r="G138" s="131">
        <f t="shared" si="22"/>
        <v>46303</v>
      </c>
    </row>
    <row r="139" spans="2:7" ht="14.25">
      <c r="B139" s="116" t="s">
        <v>442</v>
      </c>
      <c r="C139" s="116" t="s">
        <v>1710</v>
      </c>
      <c r="D139" s="118" t="s">
        <v>442</v>
      </c>
      <c r="E139" t="s">
        <v>1278</v>
      </c>
    </row>
    <row r="140" spans="2:7" ht="14.25" hidden="1">
      <c r="B140" s="128" t="s">
        <v>1711</v>
      </c>
      <c r="C140" s="130" t="s">
        <v>1712</v>
      </c>
      <c r="D140" s="108" t="s">
        <v>1713</v>
      </c>
      <c r="E140" t="s">
        <v>1273</v>
      </c>
      <c r="G140" s="131">
        <f t="shared" ref="G140:G142" si="23">DATE(2026,10,8)</f>
        <v>46303</v>
      </c>
    </row>
    <row r="141" spans="2:7" ht="14.25" hidden="1">
      <c r="B141" s="128" t="s">
        <v>1505</v>
      </c>
      <c r="C141" s="128" t="s">
        <v>1714</v>
      </c>
      <c r="D141" s="108" t="s">
        <v>1505</v>
      </c>
      <c r="E141" t="s">
        <v>1273</v>
      </c>
      <c r="G141" s="131">
        <f t="shared" si="23"/>
        <v>46303</v>
      </c>
    </row>
    <row r="142" spans="2:7" ht="14.25" hidden="1">
      <c r="B142" s="128" t="s">
        <v>1715</v>
      </c>
      <c r="C142" s="128" t="s">
        <v>1716</v>
      </c>
      <c r="D142" s="108" t="s">
        <v>1717</v>
      </c>
      <c r="E142" t="s">
        <v>1273</v>
      </c>
      <c r="G142" s="131">
        <f t="shared" si="23"/>
        <v>46303</v>
      </c>
    </row>
    <row r="143" spans="2:7" ht="14.25" hidden="1">
      <c r="B143" s="134" t="s">
        <v>1426</v>
      </c>
      <c r="C143" s="134" t="s">
        <v>1718</v>
      </c>
      <c r="D143" s="135" t="s">
        <v>1719</v>
      </c>
      <c r="E143" t="s">
        <v>1558</v>
      </c>
      <c r="G143" s="131"/>
    </row>
    <row r="144" spans="2:7" ht="14.25" hidden="1">
      <c r="B144" s="128" t="s">
        <v>1479</v>
      </c>
      <c r="C144" s="128" t="s">
        <v>1720</v>
      </c>
      <c r="D144" s="128" t="s">
        <v>1721</v>
      </c>
      <c r="E144" t="s">
        <v>1273</v>
      </c>
      <c r="G144" s="131">
        <f t="shared" ref="G144:G146" si="24">DATE(2026,10,8)</f>
        <v>46303</v>
      </c>
    </row>
    <row r="145" spans="2:7" ht="14.25" hidden="1">
      <c r="B145" s="128" t="s">
        <v>1722</v>
      </c>
      <c r="C145" s="128" t="s">
        <v>1723</v>
      </c>
      <c r="D145" s="128" t="s">
        <v>1724</v>
      </c>
      <c r="E145" t="s">
        <v>1273</v>
      </c>
      <c r="G145" s="131">
        <f t="shared" si="24"/>
        <v>46303</v>
      </c>
    </row>
    <row r="146" spans="2:7" ht="14.25" hidden="1">
      <c r="B146" s="128" t="s">
        <v>1479</v>
      </c>
      <c r="C146" s="128" t="s">
        <v>1725</v>
      </c>
      <c r="D146" s="128" t="s">
        <v>1726</v>
      </c>
      <c r="E146" t="s">
        <v>1273</v>
      </c>
      <c r="G146" s="131">
        <f t="shared" si="24"/>
        <v>46303</v>
      </c>
    </row>
    <row r="147" spans="2:7" ht="14.25" hidden="1">
      <c r="B147" s="128" t="s">
        <v>1370</v>
      </c>
      <c r="C147" s="128" t="s">
        <v>1727</v>
      </c>
      <c r="D147" s="128" t="s">
        <v>1728</v>
      </c>
      <c r="E147" t="s">
        <v>1273</v>
      </c>
      <c r="G147" s="131">
        <f>DATE(2026,10,7)</f>
        <v>46302</v>
      </c>
    </row>
    <row r="148" spans="2:7" ht="14.25" hidden="1">
      <c r="B148" s="128" t="s">
        <v>1729</v>
      </c>
      <c r="C148" s="128" t="s">
        <v>1730</v>
      </c>
      <c r="D148" s="128" t="s">
        <v>1731</v>
      </c>
      <c r="E148" t="s">
        <v>1273</v>
      </c>
      <c r="G148" s="131">
        <f t="shared" ref="G148:G149" si="25">DATE(2026,10,8)</f>
        <v>46303</v>
      </c>
    </row>
    <row r="149" spans="2:7" ht="14.25" hidden="1">
      <c r="B149" s="128" t="s">
        <v>1461</v>
      </c>
      <c r="C149" s="128" t="s">
        <v>1732</v>
      </c>
      <c r="D149" s="108" t="s">
        <v>1733</v>
      </c>
      <c r="E149" t="s">
        <v>1273</v>
      </c>
      <c r="G149" s="131">
        <f t="shared" si="25"/>
        <v>46303</v>
      </c>
    </row>
    <row r="150" spans="2:7" ht="14.25" hidden="1">
      <c r="B150" s="128" t="s">
        <v>1525</v>
      </c>
      <c r="C150" s="128" t="s">
        <v>1734</v>
      </c>
      <c r="D150" s="128" t="s">
        <v>1735</v>
      </c>
      <c r="E150" t="s">
        <v>1273</v>
      </c>
      <c r="G150" s="131">
        <f>DATE(2026,10,7)</f>
        <v>46302</v>
      </c>
    </row>
    <row r="151" spans="2:7" ht="14.25" hidden="1">
      <c r="B151" s="128" t="s">
        <v>1502</v>
      </c>
      <c r="C151" s="128" t="s">
        <v>1736</v>
      </c>
      <c r="D151" s="128" t="s">
        <v>1737</v>
      </c>
      <c r="E151" t="s">
        <v>1273</v>
      </c>
      <c r="G151" s="131">
        <f>DATE(2026,10,8)</f>
        <v>46303</v>
      </c>
    </row>
    <row r="152" spans="2:7" ht="14.25">
      <c r="B152" s="116" t="s">
        <v>150</v>
      </c>
      <c r="C152" s="116" t="s">
        <v>1429</v>
      </c>
      <c r="D152" s="118" t="s">
        <v>150</v>
      </c>
      <c r="E152" t="s">
        <v>1278</v>
      </c>
    </row>
    <row r="153" spans="2:7" ht="14.25" hidden="1">
      <c r="B153" s="128" t="s">
        <v>1525</v>
      </c>
      <c r="C153" s="128" t="s">
        <v>1738</v>
      </c>
      <c r="D153" s="128" t="s">
        <v>1739</v>
      </c>
      <c r="E153" t="s">
        <v>1273</v>
      </c>
      <c r="G153" s="131">
        <f>DATE(2026,10,7)</f>
        <v>46302</v>
      </c>
    </row>
    <row r="154" spans="2:7" ht="14.25" hidden="1">
      <c r="B154" s="128" t="s">
        <v>1740</v>
      </c>
      <c r="C154" s="128" t="s">
        <v>1741</v>
      </c>
      <c r="D154" s="128" t="s">
        <v>1742</v>
      </c>
      <c r="E154" t="s">
        <v>1273</v>
      </c>
      <c r="G154" s="131">
        <f t="shared" ref="G154:G155" si="26">DATE(2026,10,8)</f>
        <v>46303</v>
      </c>
    </row>
    <row r="155" spans="2:7" ht="14.25" hidden="1">
      <c r="B155" s="128" t="s">
        <v>1479</v>
      </c>
      <c r="C155" s="128" t="s">
        <v>1743</v>
      </c>
      <c r="D155" s="128" t="s">
        <v>1744</v>
      </c>
      <c r="E155" t="s">
        <v>1273</v>
      </c>
      <c r="G155" s="131">
        <f t="shared" si="26"/>
        <v>46303</v>
      </c>
    </row>
    <row r="156" spans="2:7" ht="14.25" hidden="1">
      <c r="B156" s="128" t="s">
        <v>1525</v>
      </c>
      <c r="C156" s="128" t="s">
        <v>1745</v>
      </c>
      <c r="D156" s="128" t="s">
        <v>1746</v>
      </c>
      <c r="E156" t="s">
        <v>1273</v>
      </c>
      <c r="G156" s="131">
        <f>DATE(2026,10,7)</f>
        <v>46302</v>
      </c>
    </row>
    <row r="157" spans="2:7" ht="14.25" hidden="1">
      <c r="B157" s="151" t="s">
        <v>1747</v>
      </c>
      <c r="C157" s="151" t="s">
        <v>1748</v>
      </c>
      <c r="D157" s="152" t="s">
        <v>1747</v>
      </c>
      <c r="E157" t="s">
        <v>1273</v>
      </c>
      <c r="G157" s="131">
        <f>DATE(2026,10,8)</f>
        <v>46303</v>
      </c>
    </row>
    <row r="158" spans="2:7" ht="14.25" hidden="1">
      <c r="B158" s="134" t="s">
        <v>1749</v>
      </c>
      <c r="C158" s="134" t="s">
        <v>1750</v>
      </c>
      <c r="D158" s="169" t="s">
        <v>1749</v>
      </c>
      <c r="E158" t="s">
        <v>1558</v>
      </c>
    </row>
    <row r="159" spans="2:7" ht="14.25" hidden="1">
      <c r="B159" s="128" t="s">
        <v>1505</v>
      </c>
      <c r="C159" s="128" t="s">
        <v>1751</v>
      </c>
      <c r="D159" s="108" t="s">
        <v>1505</v>
      </c>
      <c r="E159" t="s">
        <v>1273</v>
      </c>
      <c r="G159" s="131">
        <f>DATE(2026,10,8)</f>
        <v>46303</v>
      </c>
    </row>
    <row r="160" spans="2:7" ht="14.25" hidden="1">
      <c r="B160" s="128" t="s">
        <v>1519</v>
      </c>
      <c r="C160" s="128" t="s">
        <v>1752</v>
      </c>
      <c r="D160" s="128" t="s">
        <v>1753</v>
      </c>
      <c r="E160" t="s">
        <v>1273</v>
      </c>
      <c r="G160" s="131">
        <f t="shared" ref="G160:G162" si="27">DATE(2026,10,7)</f>
        <v>46302</v>
      </c>
    </row>
    <row r="161" spans="2:7" ht="14.25" hidden="1">
      <c r="B161" s="129" t="s">
        <v>1399</v>
      </c>
      <c r="C161" s="129" t="s">
        <v>1754</v>
      </c>
      <c r="D161" s="129" t="s">
        <v>1755</v>
      </c>
      <c r="E161" t="s">
        <v>1273</v>
      </c>
      <c r="G161" s="131">
        <f t="shared" si="27"/>
        <v>46302</v>
      </c>
    </row>
    <row r="162" spans="2:7" ht="14.25" hidden="1">
      <c r="B162" s="128" t="s">
        <v>1756</v>
      </c>
      <c r="C162" s="128" t="s">
        <v>1757</v>
      </c>
      <c r="D162" s="128" t="s">
        <v>1758</v>
      </c>
      <c r="E162" t="s">
        <v>1273</v>
      </c>
      <c r="G162" s="131">
        <f t="shared" si="27"/>
        <v>46302</v>
      </c>
    </row>
    <row r="163" spans="2:7" ht="14.25" hidden="1">
      <c r="B163" s="128" t="s">
        <v>1759</v>
      </c>
      <c r="C163" s="128" t="s">
        <v>1760</v>
      </c>
      <c r="D163" s="128" t="s">
        <v>1761</v>
      </c>
      <c r="E163" t="s">
        <v>1273</v>
      </c>
      <c r="G163" s="131">
        <f t="shared" ref="G163:G164" si="28">DATE(2026,10,8)</f>
        <v>46303</v>
      </c>
    </row>
    <row r="164" spans="2:7" ht="14.25" hidden="1">
      <c r="B164" s="128" t="s">
        <v>1376</v>
      </c>
      <c r="C164" s="128" t="s">
        <v>1762</v>
      </c>
      <c r="D164" s="128" t="s">
        <v>1763</v>
      </c>
      <c r="E164" t="s">
        <v>1273</v>
      </c>
      <c r="G164" s="131">
        <f t="shared" si="28"/>
        <v>46303</v>
      </c>
    </row>
    <row r="165" spans="2:7" ht="14.25" hidden="1">
      <c r="B165" s="128" t="s">
        <v>1399</v>
      </c>
      <c r="C165" s="128" t="s">
        <v>1764</v>
      </c>
      <c r="D165" s="128" t="s">
        <v>1765</v>
      </c>
      <c r="E165" t="s">
        <v>1273</v>
      </c>
      <c r="G165" s="131">
        <f>DATE(2026,10,7)</f>
        <v>46302</v>
      </c>
    </row>
    <row r="166" spans="2:7" ht="14.25" hidden="1">
      <c r="B166" s="128" t="s">
        <v>1766</v>
      </c>
      <c r="C166" s="128" t="s">
        <v>1767</v>
      </c>
      <c r="D166" s="128" t="s">
        <v>1768</v>
      </c>
      <c r="E166" t="s">
        <v>1273</v>
      </c>
      <c r="G166" s="131">
        <f>DATE(2026,10,8)</f>
        <v>46303</v>
      </c>
    </row>
    <row r="167" spans="2:7" ht="14.25" hidden="1">
      <c r="B167" s="128" t="s">
        <v>1519</v>
      </c>
      <c r="C167" s="128" t="s">
        <v>1769</v>
      </c>
      <c r="D167" s="128" t="s">
        <v>1770</v>
      </c>
      <c r="E167" t="s">
        <v>1273</v>
      </c>
      <c r="G167" s="131">
        <f>DATE(2026,10,7)</f>
        <v>46302</v>
      </c>
    </row>
    <row r="168" spans="2:7" ht="14.25" hidden="1">
      <c r="B168" s="128" t="s">
        <v>1771</v>
      </c>
      <c r="C168" s="128" t="s">
        <v>1772</v>
      </c>
      <c r="D168" s="128" t="s">
        <v>1773</v>
      </c>
      <c r="E168" t="s">
        <v>1273</v>
      </c>
      <c r="G168" s="131">
        <f t="shared" ref="G168:G170" si="29">DATE(2026,10,8)</f>
        <v>46303</v>
      </c>
    </row>
    <row r="169" spans="2:7" ht="14.25" hidden="1">
      <c r="B169" s="128" t="s">
        <v>1774</v>
      </c>
      <c r="C169" s="128" t="s">
        <v>1775</v>
      </c>
      <c r="D169" s="128" t="s">
        <v>1776</v>
      </c>
      <c r="E169" t="s">
        <v>1273</v>
      </c>
      <c r="G169" s="131">
        <f t="shared" si="29"/>
        <v>46303</v>
      </c>
    </row>
    <row r="170" spans="2:7" ht="14.25" hidden="1">
      <c r="B170" s="128" t="s">
        <v>1531</v>
      </c>
      <c r="C170" s="128" t="s">
        <v>1777</v>
      </c>
      <c r="D170" s="128" t="s">
        <v>1778</v>
      </c>
      <c r="E170" t="s">
        <v>1273</v>
      </c>
      <c r="G170" s="131">
        <f t="shared" si="29"/>
        <v>46303</v>
      </c>
    </row>
    <row r="171" spans="2:7" ht="14.25">
      <c r="B171" s="116" t="s">
        <v>431</v>
      </c>
      <c r="C171" s="116" t="s">
        <v>1779</v>
      </c>
      <c r="D171" s="121" t="s">
        <v>431</v>
      </c>
      <c r="E171" t="s">
        <v>1278</v>
      </c>
    </row>
    <row r="172" spans="2:7" ht="14.25" hidden="1">
      <c r="B172" s="128" t="s">
        <v>1519</v>
      </c>
      <c r="C172" s="130" t="s">
        <v>1780</v>
      </c>
      <c r="D172" s="128" t="s">
        <v>1781</v>
      </c>
      <c r="E172" t="s">
        <v>1273</v>
      </c>
      <c r="G172" s="131">
        <f>DATE(2026,10,7)</f>
        <v>46302</v>
      </c>
    </row>
    <row r="173" spans="2:7" ht="14.25" hidden="1">
      <c r="B173" s="128" t="s">
        <v>1479</v>
      </c>
      <c r="C173" s="128" t="s">
        <v>1782</v>
      </c>
      <c r="D173" s="128" t="s">
        <v>1783</v>
      </c>
      <c r="E173" t="s">
        <v>1273</v>
      </c>
      <c r="G173" s="131">
        <f>DATE(2026,10,8)</f>
        <v>46303</v>
      </c>
    </row>
    <row r="174" spans="2:7" ht="14.25" hidden="1">
      <c r="B174" s="128" t="s">
        <v>1399</v>
      </c>
      <c r="C174" s="128" t="s">
        <v>1302</v>
      </c>
      <c r="D174" s="128" t="s">
        <v>1784</v>
      </c>
      <c r="E174" t="s">
        <v>1273</v>
      </c>
      <c r="G174" s="131">
        <f>DATE(2026,10,7)</f>
        <v>46302</v>
      </c>
    </row>
    <row r="175" spans="2:7" ht="14.25">
      <c r="B175" s="116" t="s">
        <v>325</v>
      </c>
      <c r="C175" s="119" t="s">
        <v>1353</v>
      </c>
      <c r="D175" s="118" t="s">
        <v>325</v>
      </c>
      <c r="E175" t="s">
        <v>1278</v>
      </c>
    </row>
    <row r="176" spans="2:7" ht="14.25" hidden="1">
      <c r="B176" s="128" t="s">
        <v>1785</v>
      </c>
      <c r="C176" s="128" t="s">
        <v>1786</v>
      </c>
      <c r="D176" s="128" t="s">
        <v>1787</v>
      </c>
      <c r="E176" t="s">
        <v>1273</v>
      </c>
      <c r="G176" s="131">
        <f>DATE(2026,10,8)</f>
        <v>46303</v>
      </c>
    </row>
    <row r="177" spans="2:7" ht="14.25" hidden="1">
      <c r="B177" s="128" t="s">
        <v>1370</v>
      </c>
      <c r="C177" s="128" t="s">
        <v>1788</v>
      </c>
      <c r="D177" s="128" t="s">
        <v>1789</v>
      </c>
      <c r="E177" t="s">
        <v>1273</v>
      </c>
      <c r="G177" s="131">
        <f>DATE(2026,10,7)</f>
        <v>46302</v>
      </c>
    </row>
    <row r="178" spans="2:7" ht="14.25" hidden="1">
      <c r="B178" s="128" t="s">
        <v>1790</v>
      </c>
      <c r="C178" s="128" t="s">
        <v>1791</v>
      </c>
      <c r="D178" s="108" t="s">
        <v>1792</v>
      </c>
      <c r="E178" t="s">
        <v>1273</v>
      </c>
      <c r="G178" s="131">
        <f t="shared" ref="G178:G183" si="30">DATE(2026,10,8)</f>
        <v>46303</v>
      </c>
    </row>
    <row r="179" spans="2:7" ht="14.25" hidden="1">
      <c r="B179" s="128" t="s">
        <v>1793</v>
      </c>
      <c r="C179" s="128" t="s">
        <v>1794</v>
      </c>
      <c r="D179" s="128" t="s">
        <v>1795</v>
      </c>
      <c r="E179" t="s">
        <v>1273</v>
      </c>
      <c r="G179" s="131">
        <f t="shared" si="30"/>
        <v>46303</v>
      </c>
    </row>
    <row r="180" spans="2:7" ht="14.25" hidden="1">
      <c r="B180" s="128" t="s">
        <v>1505</v>
      </c>
      <c r="C180" s="128" t="s">
        <v>1796</v>
      </c>
      <c r="D180" s="108" t="s">
        <v>1505</v>
      </c>
      <c r="E180" t="s">
        <v>1273</v>
      </c>
      <c r="G180" s="131">
        <f t="shared" si="30"/>
        <v>46303</v>
      </c>
    </row>
    <row r="181" spans="2:7" ht="14.25" hidden="1">
      <c r="B181" s="128" t="s">
        <v>1505</v>
      </c>
      <c r="C181" s="128" t="s">
        <v>1797</v>
      </c>
      <c r="D181" s="108" t="s">
        <v>1505</v>
      </c>
      <c r="E181" t="s">
        <v>1273</v>
      </c>
      <c r="G181" s="131">
        <f t="shared" si="30"/>
        <v>46303</v>
      </c>
    </row>
    <row r="182" spans="2:7" ht="14.25" hidden="1">
      <c r="B182" s="128" t="s">
        <v>1798</v>
      </c>
      <c r="C182" s="128" t="s">
        <v>1799</v>
      </c>
      <c r="D182" s="128" t="s">
        <v>1800</v>
      </c>
      <c r="E182" t="s">
        <v>1273</v>
      </c>
      <c r="G182" s="131">
        <f t="shared" si="30"/>
        <v>46303</v>
      </c>
    </row>
    <row r="183" spans="2:7" ht="14.25" hidden="1">
      <c r="B183" s="128" t="s">
        <v>1505</v>
      </c>
      <c r="C183" s="128" t="s">
        <v>1801</v>
      </c>
      <c r="D183" s="108" t="s">
        <v>1505</v>
      </c>
      <c r="E183" t="s">
        <v>1273</v>
      </c>
      <c r="G183" s="131">
        <f t="shared" si="30"/>
        <v>46303</v>
      </c>
    </row>
    <row r="184" spans="2:7" ht="24">
      <c r="B184" s="116" t="s">
        <v>260</v>
      </c>
      <c r="C184" s="116" t="s">
        <v>1347</v>
      </c>
      <c r="D184" s="122" t="s">
        <v>1348</v>
      </c>
      <c r="E184" t="s">
        <v>1278</v>
      </c>
    </row>
    <row r="185" spans="2:7" ht="14.25" hidden="1">
      <c r="B185" s="128" t="s">
        <v>1519</v>
      </c>
      <c r="C185" s="128" t="s">
        <v>1802</v>
      </c>
      <c r="D185" s="128" t="s">
        <v>1803</v>
      </c>
      <c r="E185" t="s">
        <v>1273</v>
      </c>
      <c r="G185" s="131">
        <f>DATE(2026,10,7)</f>
        <v>46302</v>
      </c>
    </row>
    <row r="186" spans="2:7" ht="14.25" hidden="1">
      <c r="B186" s="128" t="s">
        <v>1479</v>
      </c>
      <c r="C186" s="128" t="s">
        <v>1804</v>
      </c>
      <c r="D186" s="128" t="s">
        <v>1805</v>
      </c>
      <c r="E186" t="s">
        <v>1273</v>
      </c>
      <c r="G186" s="131">
        <f>DATE(2026,10,8)</f>
        <v>46303</v>
      </c>
    </row>
    <row r="187" spans="2:7" ht="14.25">
      <c r="B187" s="116" t="s">
        <v>383</v>
      </c>
      <c r="C187" s="116" t="s">
        <v>1294</v>
      </c>
      <c r="D187" s="121" t="s">
        <v>383</v>
      </c>
      <c r="E187" t="s">
        <v>1278</v>
      </c>
    </row>
    <row r="188" spans="2:7" ht="14.25">
      <c r="B188" s="116" t="s">
        <v>277</v>
      </c>
      <c r="C188" s="116" t="s">
        <v>1467</v>
      </c>
      <c r="D188" s="118" t="s">
        <v>277</v>
      </c>
      <c r="E188" t="s">
        <v>1278</v>
      </c>
    </row>
    <row r="189" spans="2:7" ht="14.25">
      <c r="B189" s="116" t="s">
        <v>377</v>
      </c>
      <c r="C189" s="116" t="s">
        <v>1806</v>
      </c>
      <c r="D189" s="117" t="s">
        <v>1807</v>
      </c>
      <c r="E189" t="s">
        <v>1278</v>
      </c>
    </row>
    <row r="190" spans="2:7" ht="14.25" hidden="1">
      <c r="B190" s="128" t="s">
        <v>1525</v>
      </c>
      <c r="C190" s="128" t="s">
        <v>1808</v>
      </c>
      <c r="D190" s="128" t="s">
        <v>1809</v>
      </c>
      <c r="E190" t="s">
        <v>1273</v>
      </c>
      <c r="G190" s="131">
        <f>DATE(2026,10,7)</f>
        <v>46302</v>
      </c>
    </row>
    <row r="191" spans="2:7" ht="14.25" hidden="1">
      <c r="B191" s="128" t="s">
        <v>1810</v>
      </c>
      <c r="C191" s="128" t="s">
        <v>1811</v>
      </c>
      <c r="D191" s="128" t="s">
        <v>1812</v>
      </c>
      <c r="E191" t="s">
        <v>1273</v>
      </c>
      <c r="G191" s="131">
        <f t="shared" ref="G191:G199" si="31">DATE(2026,10,8)</f>
        <v>46303</v>
      </c>
    </row>
    <row r="192" spans="2:7" ht="14.25" hidden="1">
      <c r="B192" s="128" t="s">
        <v>1505</v>
      </c>
      <c r="C192" s="128" t="s">
        <v>1813</v>
      </c>
      <c r="D192" s="108" t="s">
        <v>1505</v>
      </c>
      <c r="E192" t="s">
        <v>1273</v>
      </c>
      <c r="G192" s="131">
        <f t="shared" si="31"/>
        <v>46303</v>
      </c>
    </row>
    <row r="193" spans="2:7" ht="14.25" hidden="1">
      <c r="B193" s="128" t="s">
        <v>1479</v>
      </c>
      <c r="C193" s="128" t="s">
        <v>1814</v>
      </c>
      <c r="D193" s="128" t="s">
        <v>1815</v>
      </c>
      <c r="E193" t="s">
        <v>1273</v>
      </c>
      <c r="G193" s="131">
        <f t="shared" si="31"/>
        <v>46303</v>
      </c>
    </row>
    <row r="194" spans="2:7" ht="14.25" hidden="1">
      <c r="B194" s="128" t="s">
        <v>1635</v>
      </c>
      <c r="C194" s="128" t="s">
        <v>1816</v>
      </c>
      <c r="D194" s="128" t="s">
        <v>1817</v>
      </c>
      <c r="E194" t="s">
        <v>1273</v>
      </c>
      <c r="G194" s="131">
        <f t="shared" si="31"/>
        <v>46303</v>
      </c>
    </row>
    <row r="195" spans="2:7" ht="14.25" hidden="1">
      <c r="B195" s="128" t="s">
        <v>1505</v>
      </c>
      <c r="C195" s="128" t="s">
        <v>1818</v>
      </c>
      <c r="D195" s="108" t="s">
        <v>1505</v>
      </c>
      <c r="E195" t="s">
        <v>1273</v>
      </c>
      <c r="G195" s="131">
        <f t="shared" si="31"/>
        <v>46303</v>
      </c>
    </row>
    <row r="196" spans="2:7" ht="14.25" hidden="1">
      <c r="B196" s="128" t="s">
        <v>1502</v>
      </c>
      <c r="C196" s="128" t="s">
        <v>1819</v>
      </c>
      <c r="D196" s="128" t="s">
        <v>1820</v>
      </c>
      <c r="E196" t="s">
        <v>1273</v>
      </c>
      <c r="G196" s="131">
        <f t="shared" si="31"/>
        <v>46303</v>
      </c>
    </row>
    <row r="197" spans="2:7" ht="14.25" hidden="1">
      <c r="B197" s="128" t="s">
        <v>1505</v>
      </c>
      <c r="C197" s="128" t="s">
        <v>1821</v>
      </c>
      <c r="D197" s="108" t="s">
        <v>1505</v>
      </c>
      <c r="E197" t="s">
        <v>1273</v>
      </c>
      <c r="G197" s="131">
        <f t="shared" si="31"/>
        <v>46303</v>
      </c>
    </row>
    <row r="198" spans="2:7" ht="14.25" hidden="1">
      <c r="B198" s="128" t="s">
        <v>1822</v>
      </c>
      <c r="C198" s="128" t="s">
        <v>1823</v>
      </c>
      <c r="D198" s="128" t="s">
        <v>1824</v>
      </c>
      <c r="E198" t="s">
        <v>1273</v>
      </c>
      <c r="G198" s="131">
        <f t="shared" si="31"/>
        <v>46303</v>
      </c>
    </row>
    <row r="199" spans="2:7" ht="14.25" hidden="1">
      <c r="B199" s="128" t="s">
        <v>1502</v>
      </c>
      <c r="C199" s="128" t="s">
        <v>1825</v>
      </c>
      <c r="D199" s="128" t="s">
        <v>1826</v>
      </c>
      <c r="E199" t="s">
        <v>1273</v>
      </c>
      <c r="G199" s="131">
        <f t="shared" si="31"/>
        <v>46303</v>
      </c>
    </row>
    <row r="200" spans="2:7" ht="14.25" hidden="1">
      <c r="B200" s="128" t="s">
        <v>1519</v>
      </c>
      <c r="C200" s="128" t="s">
        <v>1827</v>
      </c>
      <c r="D200" s="128" t="s">
        <v>1828</v>
      </c>
      <c r="E200" t="s">
        <v>1273</v>
      </c>
      <c r="G200" s="131">
        <f>DATE(2026,10,7)</f>
        <v>46302</v>
      </c>
    </row>
    <row r="201" spans="2:7" ht="14.25" hidden="1">
      <c r="B201" s="128" t="s">
        <v>1477</v>
      </c>
      <c r="C201" s="128" t="s">
        <v>1829</v>
      </c>
      <c r="D201" s="128" t="s">
        <v>1830</v>
      </c>
      <c r="E201" t="s">
        <v>1273</v>
      </c>
      <c r="G201" s="131">
        <f t="shared" ref="G201:G202" si="32">DATE(2026,10,8)</f>
        <v>46303</v>
      </c>
    </row>
    <row r="202" spans="2:7" ht="14.25" hidden="1">
      <c r="B202" s="128" t="s">
        <v>1479</v>
      </c>
      <c r="C202" s="128" t="s">
        <v>1831</v>
      </c>
      <c r="D202" s="128" t="s">
        <v>1832</v>
      </c>
      <c r="E202" t="s">
        <v>1273</v>
      </c>
      <c r="G202" s="131">
        <f t="shared" si="32"/>
        <v>46303</v>
      </c>
    </row>
    <row r="203" spans="2:7" ht="14.25">
      <c r="B203" s="116" t="s">
        <v>112</v>
      </c>
      <c r="C203" s="116" t="s">
        <v>1430</v>
      </c>
      <c r="D203" s="118" t="s">
        <v>112</v>
      </c>
      <c r="E203" t="s">
        <v>1278</v>
      </c>
    </row>
    <row r="204" spans="2:7" ht="14.25" hidden="1">
      <c r="B204" s="128" t="s">
        <v>1499</v>
      </c>
      <c r="C204" s="128" t="s">
        <v>1833</v>
      </c>
      <c r="D204" s="128" t="s">
        <v>1834</v>
      </c>
      <c r="E204" t="s">
        <v>1273</v>
      </c>
      <c r="G204" s="131">
        <f t="shared" ref="G204:G213" si="33">DATE(2026,10,8)</f>
        <v>46303</v>
      </c>
    </row>
    <row r="205" spans="2:7" ht="14.25" hidden="1">
      <c r="B205" s="128" t="s">
        <v>1479</v>
      </c>
      <c r="C205" s="128" t="s">
        <v>1835</v>
      </c>
      <c r="D205" s="128" t="s">
        <v>1836</v>
      </c>
      <c r="E205" t="s">
        <v>1273</v>
      </c>
      <c r="G205" s="131">
        <f t="shared" si="33"/>
        <v>46303</v>
      </c>
    </row>
    <row r="206" spans="2:7" ht="14.25" hidden="1">
      <c r="B206" s="128" t="s">
        <v>1837</v>
      </c>
      <c r="C206" s="128" t="s">
        <v>1838</v>
      </c>
      <c r="D206" s="128" t="s">
        <v>1839</v>
      </c>
      <c r="E206" t="s">
        <v>1273</v>
      </c>
      <c r="G206" s="131">
        <f t="shared" si="33"/>
        <v>46303</v>
      </c>
    </row>
    <row r="207" spans="2:7" ht="14.25" hidden="1">
      <c r="B207" s="128" t="s">
        <v>1505</v>
      </c>
      <c r="C207" s="128" t="s">
        <v>1840</v>
      </c>
      <c r="D207" s="108" t="s">
        <v>1505</v>
      </c>
      <c r="E207" t="s">
        <v>1273</v>
      </c>
      <c r="G207" s="131">
        <f t="shared" si="33"/>
        <v>46303</v>
      </c>
    </row>
    <row r="208" spans="2:7" ht="14.25" hidden="1">
      <c r="B208" s="128" t="s">
        <v>1483</v>
      </c>
      <c r="C208" s="128" t="s">
        <v>1841</v>
      </c>
      <c r="D208" s="128" t="s">
        <v>1842</v>
      </c>
      <c r="E208" t="s">
        <v>1273</v>
      </c>
      <c r="G208" s="131">
        <f t="shared" si="33"/>
        <v>46303</v>
      </c>
    </row>
    <row r="209" spans="2:7" ht="14.25" hidden="1">
      <c r="B209" s="128" t="s">
        <v>1502</v>
      </c>
      <c r="C209" s="128" t="s">
        <v>1843</v>
      </c>
      <c r="D209" s="128" t="s">
        <v>1844</v>
      </c>
      <c r="E209" t="s">
        <v>1273</v>
      </c>
      <c r="G209" s="131">
        <f t="shared" si="33"/>
        <v>46303</v>
      </c>
    </row>
    <row r="210" spans="2:7" ht="14.25" hidden="1">
      <c r="B210" s="128" t="s">
        <v>1579</v>
      </c>
      <c r="C210" s="128" t="s">
        <v>1845</v>
      </c>
      <c r="D210" s="128" t="s">
        <v>1846</v>
      </c>
      <c r="E210" t="s">
        <v>1273</v>
      </c>
      <c r="G210" s="131">
        <f t="shared" si="33"/>
        <v>46303</v>
      </c>
    </row>
    <row r="211" spans="2:7" ht="14.25" hidden="1">
      <c r="B211" s="128" t="s">
        <v>1847</v>
      </c>
      <c r="C211" s="128" t="s">
        <v>1848</v>
      </c>
      <c r="D211" s="128" t="s">
        <v>1849</v>
      </c>
      <c r="E211" t="s">
        <v>1273</v>
      </c>
      <c r="G211" s="131">
        <f t="shared" si="33"/>
        <v>46303</v>
      </c>
    </row>
    <row r="212" spans="2:7" ht="14.25" hidden="1">
      <c r="B212" s="128" t="s">
        <v>1531</v>
      </c>
      <c r="C212" s="128" t="s">
        <v>1850</v>
      </c>
      <c r="D212" s="128" t="s">
        <v>1851</v>
      </c>
      <c r="E212" t="s">
        <v>1273</v>
      </c>
      <c r="G212" s="131">
        <f t="shared" si="33"/>
        <v>46303</v>
      </c>
    </row>
    <row r="213" spans="2:7" ht="14.25" hidden="1">
      <c r="B213" s="128" t="s">
        <v>1505</v>
      </c>
      <c r="C213" s="128" t="s">
        <v>1852</v>
      </c>
      <c r="D213" s="108" t="s">
        <v>1505</v>
      </c>
      <c r="E213" t="s">
        <v>1273</v>
      </c>
      <c r="G213" s="131">
        <f t="shared" si="33"/>
        <v>46303</v>
      </c>
    </row>
    <row r="214" spans="2:7" ht="14.25">
      <c r="B214" s="116" t="s">
        <v>237</v>
      </c>
      <c r="C214" s="116" t="s">
        <v>1416</v>
      </c>
      <c r="D214" s="118" t="s">
        <v>237</v>
      </c>
      <c r="E214" t="s">
        <v>1278</v>
      </c>
    </row>
    <row r="215" spans="2:7" ht="14.25" hidden="1">
      <c r="B215" s="128" t="s">
        <v>1479</v>
      </c>
      <c r="C215" s="128" t="s">
        <v>1853</v>
      </c>
      <c r="D215" s="128" t="s">
        <v>1854</v>
      </c>
      <c r="E215" t="s">
        <v>1273</v>
      </c>
      <c r="G215" s="131">
        <f t="shared" ref="G215:G216" si="34">DATE(2026,10,8)</f>
        <v>46303</v>
      </c>
    </row>
    <row r="216" spans="2:7" ht="14.25" hidden="1">
      <c r="B216" s="128" t="s">
        <v>1505</v>
      </c>
      <c r="C216" s="128" t="s">
        <v>1855</v>
      </c>
      <c r="D216" s="108" t="s">
        <v>1505</v>
      </c>
      <c r="E216" t="s">
        <v>1273</v>
      </c>
      <c r="G216" s="131">
        <f t="shared" si="34"/>
        <v>46303</v>
      </c>
    </row>
    <row r="217" spans="2:7" ht="14.25">
      <c r="B217" s="116" t="s">
        <v>137</v>
      </c>
      <c r="C217" s="116" t="s">
        <v>1468</v>
      </c>
      <c r="D217" s="118" t="s">
        <v>137</v>
      </c>
      <c r="E217" t="s">
        <v>1278</v>
      </c>
    </row>
    <row r="218" spans="2:7" ht="14.25">
      <c r="B218" s="116" t="s">
        <v>296</v>
      </c>
      <c r="C218" s="116" t="s">
        <v>1418</v>
      </c>
      <c r="D218" s="118" t="s">
        <v>296</v>
      </c>
      <c r="E218" t="s">
        <v>1278</v>
      </c>
    </row>
    <row r="219" spans="2:7" ht="14.25">
      <c r="B219" s="116" t="s">
        <v>175</v>
      </c>
      <c r="C219" s="116" t="s">
        <v>1394</v>
      </c>
      <c r="D219" s="121" t="s">
        <v>175</v>
      </c>
      <c r="E219" t="s">
        <v>1278</v>
      </c>
    </row>
    <row r="220" spans="2:7" ht="14.25" hidden="1">
      <c r="B220" s="128" t="s">
        <v>1856</v>
      </c>
      <c r="C220" s="128" t="s">
        <v>1857</v>
      </c>
      <c r="D220" s="128" t="s">
        <v>1858</v>
      </c>
      <c r="E220" t="s">
        <v>1273</v>
      </c>
      <c r="G220" s="131">
        <f>DATE(2026,10,8)</f>
        <v>46303</v>
      </c>
    </row>
    <row r="221" spans="2:7" ht="14.25">
      <c r="B221" s="116" t="s">
        <v>348</v>
      </c>
      <c r="C221" s="116" t="s">
        <v>1417</v>
      </c>
      <c r="D221" s="118" t="s">
        <v>348</v>
      </c>
      <c r="E221" t="s">
        <v>1278</v>
      </c>
    </row>
    <row r="222" spans="2:7" ht="14.25" hidden="1">
      <c r="B222" s="128" t="s">
        <v>1859</v>
      </c>
      <c r="C222" s="128" t="s">
        <v>1860</v>
      </c>
      <c r="D222" s="128" t="s">
        <v>1861</v>
      </c>
      <c r="E222" t="s">
        <v>1273</v>
      </c>
      <c r="G222" s="131">
        <f t="shared" ref="G222:G223" si="35">DATE(2026,10,8)</f>
        <v>46303</v>
      </c>
    </row>
    <row r="223" spans="2:7" ht="14.25" hidden="1">
      <c r="B223" s="128" t="s">
        <v>1862</v>
      </c>
      <c r="C223" s="128" t="s">
        <v>1863</v>
      </c>
      <c r="D223" s="128" t="s">
        <v>1864</v>
      </c>
      <c r="E223" t="s">
        <v>1273</v>
      </c>
      <c r="G223" s="131">
        <f t="shared" si="35"/>
        <v>46303</v>
      </c>
    </row>
    <row r="224" spans="2:7" ht="14.25">
      <c r="B224" s="116" t="s">
        <v>377</v>
      </c>
      <c r="C224" s="116" t="s">
        <v>1433</v>
      </c>
      <c r="D224" s="118" t="s">
        <v>377</v>
      </c>
      <c r="E224" t="s">
        <v>1278</v>
      </c>
    </row>
    <row r="225" spans="2:7" ht="14.25" hidden="1">
      <c r="B225" s="128" t="s">
        <v>1865</v>
      </c>
      <c r="C225" s="128" t="s">
        <v>1866</v>
      </c>
      <c r="D225" s="128" t="s">
        <v>1867</v>
      </c>
      <c r="E225" t="s">
        <v>1273</v>
      </c>
      <c r="G225" s="131">
        <f>DATE(2026,10,8)</f>
        <v>46303</v>
      </c>
    </row>
    <row r="226" spans="2:7" ht="14.25">
      <c r="B226" s="116" t="s">
        <v>245</v>
      </c>
      <c r="C226" s="116" t="s">
        <v>1351</v>
      </c>
      <c r="D226" s="121" t="s">
        <v>245</v>
      </c>
      <c r="E226" t="s">
        <v>1278</v>
      </c>
    </row>
    <row r="227" spans="2:7" ht="14.25" hidden="1">
      <c r="B227" s="128" t="s">
        <v>1868</v>
      </c>
      <c r="C227" s="128" t="s">
        <v>1869</v>
      </c>
      <c r="D227" s="128" t="s">
        <v>1870</v>
      </c>
      <c r="E227" t="s">
        <v>1273</v>
      </c>
      <c r="G227" s="131">
        <f t="shared" ref="G227:G228" si="36">DATE(2026,10,8)</f>
        <v>46303</v>
      </c>
    </row>
    <row r="228" spans="2:7" ht="14.25" hidden="1">
      <c r="B228" s="128" t="s">
        <v>1505</v>
      </c>
      <c r="C228" s="128" t="s">
        <v>1871</v>
      </c>
      <c r="D228" s="108" t="s">
        <v>1505</v>
      </c>
      <c r="E228" t="s">
        <v>1273</v>
      </c>
      <c r="G228" s="131">
        <f t="shared" si="36"/>
        <v>46303</v>
      </c>
    </row>
    <row r="229" spans="2:7" ht="14.25">
      <c r="B229" s="116" t="s">
        <v>53</v>
      </c>
      <c r="C229" s="116" t="s">
        <v>1295</v>
      </c>
      <c r="D229" s="121" t="s">
        <v>53</v>
      </c>
      <c r="E229" t="s">
        <v>1278</v>
      </c>
    </row>
    <row r="230" spans="2:7" ht="14.25" hidden="1">
      <c r="B230" s="128" t="s">
        <v>1487</v>
      </c>
      <c r="C230" s="128" t="s">
        <v>1872</v>
      </c>
      <c r="D230" s="128" t="s">
        <v>1873</v>
      </c>
      <c r="E230" t="s">
        <v>1273</v>
      </c>
      <c r="G230" s="131">
        <f t="shared" ref="G230:G233" si="37">DATE(2026,10,8)</f>
        <v>46303</v>
      </c>
    </row>
    <row r="231" spans="2:7" ht="14.25" hidden="1">
      <c r="B231" s="128" t="s">
        <v>1874</v>
      </c>
      <c r="C231" s="128" t="s">
        <v>1875</v>
      </c>
      <c r="D231" s="128" t="s">
        <v>1876</v>
      </c>
      <c r="E231" t="s">
        <v>1273</v>
      </c>
      <c r="G231" s="131">
        <f t="shared" si="37"/>
        <v>46303</v>
      </c>
    </row>
    <row r="232" spans="2:7" ht="14.25" hidden="1">
      <c r="B232" s="128" t="s">
        <v>1568</v>
      </c>
      <c r="C232" s="128" t="s">
        <v>1877</v>
      </c>
      <c r="D232" s="128" t="s">
        <v>1878</v>
      </c>
      <c r="E232" t="s">
        <v>1273</v>
      </c>
      <c r="G232" s="131">
        <f t="shared" si="37"/>
        <v>46303</v>
      </c>
    </row>
    <row r="233" spans="2:7" ht="14.25" hidden="1">
      <c r="B233" s="128" t="s">
        <v>1879</v>
      </c>
      <c r="C233" s="128" t="s">
        <v>1880</v>
      </c>
      <c r="D233" s="108" t="s">
        <v>1881</v>
      </c>
      <c r="E233" t="s">
        <v>1273</v>
      </c>
      <c r="G233" s="131">
        <f t="shared" si="37"/>
        <v>46303</v>
      </c>
    </row>
    <row r="234" spans="2:7" ht="14.25" hidden="1">
      <c r="B234" s="128" t="s">
        <v>1519</v>
      </c>
      <c r="C234" s="128" t="s">
        <v>1882</v>
      </c>
      <c r="D234" s="128" t="s">
        <v>1883</v>
      </c>
      <c r="E234" t="s">
        <v>1273</v>
      </c>
      <c r="G234" s="131">
        <f>DATE(2026,10,7)</f>
        <v>46302</v>
      </c>
    </row>
    <row r="235" spans="2:7" ht="14.25" hidden="1">
      <c r="B235" s="128" t="s">
        <v>1479</v>
      </c>
      <c r="C235" s="128" t="s">
        <v>1884</v>
      </c>
      <c r="D235" s="128" t="s">
        <v>1885</v>
      </c>
      <c r="E235" t="s">
        <v>1273</v>
      </c>
      <c r="G235" s="131">
        <f>DATE(2026,10,8)</f>
        <v>46303</v>
      </c>
    </row>
    <row r="236" spans="2:7" ht="14.25" hidden="1">
      <c r="B236" s="128" t="s">
        <v>1519</v>
      </c>
      <c r="C236" s="128" t="s">
        <v>1886</v>
      </c>
      <c r="D236" s="128" t="s">
        <v>1887</v>
      </c>
      <c r="E236" t="s">
        <v>1273</v>
      </c>
      <c r="G236" s="131">
        <f>DATE(2026,10,7)</f>
        <v>46302</v>
      </c>
    </row>
    <row r="237" spans="2:7" ht="14.25" hidden="1">
      <c r="B237" s="128" t="s">
        <v>1888</v>
      </c>
      <c r="C237" s="128" t="s">
        <v>1889</v>
      </c>
      <c r="D237" s="128" t="s">
        <v>1890</v>
      </c>
      <c r="E237" t="s">
        <v>1273</v>
      </c>
      <c r="G237" s="131">
        <f t="shared" ref="G237:G250" si="38">DATE(2026,10,8)</f>
        <v>46303</v>
      </c>
    </row>
    <row r="238" spans="2:7" ht="14.25" hidden="1">
      <c r="B238" s="128" t="s">
        <v>1891</v>
      </c>
      <c r="C238" s="128" t="s">
        <v>1892</v>
      </c>
      <c r="D238" s="128" t="s">
        <v>1893</v>
      </c>
      <c r="E238" t="s">
        <v>1273</v>
      </c>
      <c r="G238" s="131">
        <f t="shared" si="38"/>
        <v>46303</v>
      </c>
    </row>
    <row r="239" spans="2:7" ht="14.25" hidden="1">
      <c r="B239" s="128" t="s">
        <v>1894</v>
      </c>
      <c r="C239" s="128" t="s">
        <v>1895</v>
      </c>
      <c r="D239" s="108" t="s">
        <v>1896</v>
      </c>
      <c r="E239" t="s">
        <v>1273</v>
      </c>
      <c r="G239" s="131">
        <f t="shared" si="38"/>
        <v>46303</v>
      </c>
    </row>
    <row r="240" spans="2:7" ht="14.25" hidden="1">
      <c r="B240" s="128" t="s">
        <v>1897</v>
      </c>
      <c r="C240" s="128" t="s">
        <v>1897</v>
      </c>
      <c r="D240" s="108" t="s">
        <v>1898</v>
      </c>
      <c r="E240" t="s">
        <v>1273</v>
      </c>
      <c r="G240" s="131">
        <f t="shared" si="38"/>
        <v>46303</v>
      </c>
    </row>
    <row r="241" spans="2:7" ht="14.25" hidden="1">
      <c r="B241" s="128" t="s">
        <v>1899</v>
      </c>
      <c r="C241" s="128" t="s">
        <v>1900</v>
      </c>
      <c r="D241" s="128" t="s">
        <v>1901</v>
      </c>
      <c r="E241" t="s">
        <v>1273</v>
      </c>
      <c r="G241" s="131">
        <f t="shared" si="38"/>
        <v>46303</v>
      </c>
    </row>
    <row r="242" spans="2:7" ht="14.25" hidden="1">
      <c r="B242" s="128" t="s">
        <v>1902</v>
      </c>
      <c r="C242" s="128" t="s">
        <v>1903</v>
      </c>
      <c r="D242" s="128" t="s">
        <v>1904</v>
      </c>
      <c r="E242" t="s">
        <v>1273</v>
      </c>
      <c r="G242" s="131">
        <f t="shared" si="38"/>
        <v>46303</v>
      </c>
    </row>
    <row r="243" spans="2:7" ht="14.25" hidden="1">
      <c r="B243" s="128" t="s">
        <v>1674</v>
      </c>
      <c r="C243" s="128" t="s">
        <v>1905</v>
      </c>
      <c r="D243" s="128" t="s">
        <v>1906</v>
      </c>
      <c r="E243" t="s">
        <v>1273</v>
      </c>
      <c r="G243" s="131">
        <f t="shared" si="38"/>
        <v>46303</v>
      </c>
    </row>
    <row r="244" spans="2:7" ht="14.25" hidden="1">
      <c r="B244" s="128" t="s">
        <v>1479</v>
      </c>
      <c r="C244" s="128" t="s">
        <v>1907</v>
      </c>
      <c r="D244" s="128" t="s">
        <v>1908</v>
      </c>
      <c r="E244" t="s">
        <v>1273</v>
      </c>
      <c r="G244" s="131">
        <f t="shared" si="38"/>
        <v>46303</v>
      </c>
    </row>
    <row r="245" spans="2:7" ht="14.25" hidden="1">
      <c r="B245" s="128" t="s">
        <v>1505</v>
      </c>
      <c r="C245" s="128" t="s">
        <v>1909</v>
      </c>
      <c r="D245" s="108" t="s">
        <v>1505</v>
      </c>
      <c r="E245" t="s">
        <v>1273</v>
      </c>
      <c r="G245" s="131">
        <f t="shared" si="38"/>
        <v>46303</v>
      </c>
    </row>
    <row r="246" spans="2:7" ht="14.25" hidden="1">
      <c r="B246" s="128" t="s">
        <v>1479</v>
      </c>
      <c r="C246" s="128" t="s">
        <v>1910</v>
      </c>
      <c r="D246" s="128" t="s">
        <v>1911</v>
      </c>
      <c r="E246" t="s">
        <v>1273</v>
      </c>
      <c r="G246" s="131">
        <f t="shared" si="38"/>
        <v>46303</v>
      </c>
    </row>
    <row r="247" spans="2:7" ht="14.25" hidden="1">
      <c r="B247" s="128" t="s">
        <v>1307</v>
      </c>
      <c r="C247" s="128" t="s">
        <v>1912</v>
      </c>
      <c r="D247" s="128" t="s">
        <v>1913</v>
      </c>
      <c r="E247" t="s">
        <v>1273</v>
      </c>
      <c r="G247" s="131">
        <f t="shared" si="38"/>
        <v>46303</v>
      </c>
    </row>
    <row r="248" spans="2:7" ht="14.25" hidden="1">
      <c r="B248" s="128" t="s">
        <v>1335</v>
      </c>
      <c r="C248" s="128" t="s">
        <v>1914</v>
      </c>
      <c r="D248" s="136" t="s">
        <v>1915</v>
      </c>
      <c r="E248" t="s">
        <v>1273</v>
      </c>
      <c r="G248" s="131">
        <f t="shared" si="38"/>
        <v>46303</v>
      </c>
    </row>
    <row r="249" spans="2:7" ht="14.25" hidden="1">
      <c r="B249" s="128" t="s">
        <v>1479</v>
      </c>
      <c r="C249" s="128" t="s">
        <v>1916</v>
      </c>
      <c r="D249" s="128" t="s">
        <v>1917</v>
      </c>
      <c r="E249" t="s">
        <v>1273</v>
      </c>
      <c r="G249" s="131">
        <f t="shared" si="38"/>
        <v>46303</v>
      </c>
    </row>
    <row r="250" spans="2:7" ht="14.25" hidden="1">
      <c r="B250" s="128" t="s">
        <v>1502</v>
      </c>
      <c r="C250" s="128" t="s">
        <v>1918</v>
      </c>
      <c r="D250" s="128" t="s">
        <v>1919</v>
      </c>
      <c r="E250" t="s">
        <v>1273</v>
      </c>
      <c r="G250" s="131">
        <f t="shared" si="38"/>
        <v>46303</v>
      </c>
    </row>
    <row r="251" spans="2:7" ht="14.25" hidden="1">
      <c r="B251" s="128" t="s">
        <v>1519</v>
      </c>
      <c r="C251" s="128" t="s">
        <v>1920</v>
      </c>
      <c r="D251" s="128" t="s">
        <v>1921</v>
      </c>
      <c r="E251" t="s">
        <v>1273</v>
      </c>
      <c r="G251" s="131">
        <f>DATE(2026,10,7)</f>
        <v>46302</v>
      </c>
    </row>
    <row r="252" spans="2:7" ht="14.25" hidden="1">
      <c r="B252" s="128" t="s">
        <v>1922</v>
      </c>
      <c r="C252" s="128" t="s">
        <v>1923</v>
      </c>
      <c r="D252" s="128" t="s">
        <v>1924</v>
      </c>
      <c r="E252" t="s">
        <v>1273</v>
      </c>
      <c r="G252" s="131">
        <f>DATE(2026,10,8)</f>
        <v>46303</v>
      </c>
    </row>
    <row r="253" spans="2:7" ht="14.25">
      <c r="B253" s="116" t="s">
        <v>215</v>
      </c>
      <c r="C253" s="116" t="s">
        <v>1361</v>
      </c>
      <c r="D253" s="118" t="s">
        <v>215</v>
      </c>
      <c r="E253" t="s">
        <v>1278</v>
      </c>
    </row>
    <row r="254" spans="2:7" ht="14.25" hidden="1">
      <c r="B254" s="128" t="s">
        <v>1925</v>
      </c>
      <c r="C254" s="128" t="s">
        <v>1926</v>
      </c>
      <c r="D254" s="128" t="s">
        <v>1927</v>
      </c>
      <c r="E254" t="s">
        <v>1273</v>
      </c>
      <c r="G254" s="131">
        <f t="shared" ref="G254:G255" si="39">DATE(2026,10,8)</f>
        <v>46303</v>
      </c>
    </row>
    <row r="255" spans="2:7" ht="14.25" hidden="1">
      <c r="B255" s="128" t="s">
        <v>1550</v>
      </c>
      <c r="C255" s="128" t="s">
        <v>1928</v>
      </c>
      <c r="D255" s="128" t="s">
        <v>1929</v>
      </c>
      <c r="E255" t="s">
        <v>1273</v>
      </c>
      <c r="G255" s="131">
        <f t="shared" si="39"/>
        <v>46303</v>
      </c>
    </row>
    <row r="256" spans="2:7" ht="14.25" hidden="1">
      <c r="B256" s="128" t="s">
        <v>1519</v>
      </c>
      <c r="C256" s="128" t="s">
        <v>1930</v>
      </c>
      <c r="D256" s="128" t="s">
        <v>1931</v>
      </c>
      <c r="E256" t="s">
        <v>1273</v>
      </c>
      <c r="G256" s="131">
        <f>DATE(2026,10,7)</f>
        <v>46302</v>
      </c>
    </row>
    <row r="257" spans="2:7" ht="14.25" hidden="1">
      <c r="B257" s="128" t="s">
        <v>1505</v>
      </c>
      <c r="C257" s="128" t="s">
        <v>1932</v>
      </c>
      <c r="D257" s="108" t="s">
        <v>1505</v>
      </c>
      <c r="E257" t="s">
        <v>1273</v>
      </c>
      <c r="G257" s="131">
        <f t="shared" ref="G257:G259" si="40">DATE(2026,10,8)</f>
        <v>46303</v>
      </c>
    </row>
    <row r="258" spans="2:7" ht="14.25" hidden="1">
      <c r="B258" s="128" t="s">
        <v>1933</v>
      </c>
      <c r="C258" s="128" t="s">
        <v>1934</v>
      </c>
      <c r="D258" s="128" t="s">
        <v>1935</v>
      </c>
      <c r="E258" t="s">
        <v>1273</v>
      </c>
      <c r="G258" s="131">
        <f t="shared" si="40"/>
        <v>46303</v>
      </c>
    </row>
    <row r="259" spans="2:7" ht="14.25" hidden="1">
      <c r="B259" s="128" t="s">
        <v>1519</v>
      </c>
      <c r="C259" s="128" t="s">
        <v>1936</v>
      </c>
      <c r="D259" s="128" t="s">
        <v>1937</v>
      </c>
      <c r="E259" t="s">
        <v>1273</v>
      </c>
      <c r="G259" s="131">
        <f t="shared" si="40"/>
        <v>46303</v>
      </c>
    </row>
    <row r="260" spans="2:7" ht="14.25" hidden="1">
      <c r="B260" s="164" t="s">
        <v>1382</v>
      </c>
      <c r="C260" s="164" t="s">
        <v>1383</v>
      </c>
      <c r="D260" s="165" t="s">
        <v>1382</v>
      </c>
      <c r="E260" t="s">
        <v>1558</v>
      </c>
    </row>
    <row r="261" spans="2:7" ht="14.25" hidden="1">
      <c r="B261" s="128" t="s">
        <v>1502</v>
      </c>
      <c r="C261" s="128" t="s">
        <v>1938</v>
      </c>
      <c r="D261" s="128" t="s">
        <v>1939</v>
      </c>
      <c r="E261" t="s">
        <v>1273</v>
      </c>
      <c r="G261" s="131">
        <f t="shared" ref="G261:G262" si="41">DATE(2026,10,8)</f>
        <v>46303</v>
      </c>
    </row>
    <row r="262" spans="2:7" ht="14.25" hidden="1">
      <c r="B262" s="128" t="s">
        <v>1479</v>
      </c>
      <c r="C262" s="128" t="s">
        <v>1940</v>
      </c>
      <c r="D262" s="128" t="s">
        <v>1941</v>
      </c>
      <c r="E262" t="s">
        <v>1273</v>
      </c>
      <c r="G262" s="131">
        <f t="shared" si="41"/>
        <v>46303</v>
      </c>
    </row>
    <row r="263" spans="2:7" ht="14.25" hidden="1">
      <c r="B263" s="128" t="s">
        <v>1519</v>
      </c>
      <c r="C263" s="128" t="s">
        <v>1942</v>
      </c>
      <c r="D263" s="128" t="s">
        <v>1943</v>
      </c>
      <c r="E263" t="s">
        <v>1273</v>
      </c>
      <c r="G263" s="131">
        <f>DATE(2026,10,7)</f>
        <v>46302</v>
      </c>
    </row>
    <row r="264" spans="2:7" ht="14.25" hidden="1">
      <c r="B264" s="128" t="s">
        <v>1944</v>
      </c>
      <c r="C264" s="128" t="s">
        <v>1945</v>
      </c>
      <c r="D264" s="128" t="s">
        <v>1946</v>
      </c>
      <c r="E264" t="s">
        <v>1273</v>
      </c>
      <c r="G264" s="131">
        <f t="shared" ref="G264:G266" si="42">DATE(2026,10,8)</f>
        <v>46303</v>
      </c>
    </row>
    <row r="265" spans="2:7" ht="14.25" hidden="1">
      <c r="B265" s="128" t="s">
        <v>1519</v>
      </c>
      <c r="C265" s="128" t="s">
        <v>1947</v>
      </c>
      <c r="D265" s="128" t="s">
        <v>1948</v>
      </c>
      <c r="E265" t="s">
        <v>1273</v>
      </c>
      <c r="G265" s="131">
        <f t="shared" si="42"/>
        <v>46303</v>
      </c>
    </row>
    <row r="266" spans="2:7" ht="14.25" hidden="1">
      <c r="B266" s="128" t="s">
        <v>1902</v>
      </c>
      <c r="C266" s="128" t="s">
        <v>1949</v>
      </c>
      <c r="D266" s="128" t="s">
        <v>1950</v>
      </c>
      <c r="E266" t="s">
        <v>1273</v>
      </c>
      <c r="G266" s="131">
        <f t="shared" si="42"/>
        <v>46303</v>
      </c>
    </row>
    <row r="267" spans="2:7" ht="14.25">
      <c r="B267" s="116" t="s">
        <v>397</v>
      </c>
      <c r="C267" s="116" t="s">
        <v>1277</v>
      </c>
      <c r="D267" s="121" t="s">
        <v>397</v>
      </c>
      <c r="E267" t="s">
        <v>1278</v>
      </c>
    </row>
    <row r="268" spans="2:7" ht="14.25" hidden="1">
      <c r="B268" s="128" t="s">
        <v>1951</v>
      </c>
      <c r="C268" s="128" t="s">
        <v>1952</v>
      </c>
      <c r="D268" s="128" t="s">
        <v>1953</v>
      </c>
      <c r="E268" t="s">
        <v>1273</v>
      </c>
      <c r="G268" s="131">
        <f t="shared" ref="G268:G273" si="43">DATE(2026,10,8)</f>
        <v>46303</v>
      </c>
    </row>
    <row r="269" spans="2:7" ht="14.25" hidden="1">
      <c r="B269" s="128" t="s">
        <v>1505</v>
      </c>
      <c r="C269" s="128" t="s">
        <v>1954</v>
      </c>
      <c r="D269" s="108" t="s">
        <v>1505</v>
      </c>
      <c r="E269" t="s">
        <v>1273</v>
      </c>
      <c r="G269" s="131">
        <f t="shared" si="43"/>
        <v>46303</v>
      </c>
    </row>
    <row r="270" spans="2:7" ht="14.25" hidden="1">
      <c r="B270" s="128" t="s">
        <v>1519</v>
      </c>
      <c r="C270" s="128" t="s">
        <v>1955</v>
      </c>
      <c r="D270" s="128" t="s">
        <v>1956</v>
      </c>
      <c r="E270" t="s">
        <v>1273</v>
      </c>
      <c r="G270" s="131">
        <f t="shared" si="43"/>
        <v>46303</v>
      </c>
    </row>
    <row r="271" spans="2:7" ht="14.25" hidden="1">
      <c r="B271" s="128" t="s">
        <v>1957</v>
      </c>
      <c r="C271" s="128" t="s">
        <v>1958</v>
      </c>
      <c r="D271" s="128" t="s">
        <v>1959</v>
      </c>
      <c r="E271" t="s">
        <v>1273</v>
      </c>
      <c r="G271" s="131">
        <f t="shared" si="43"/>
        <v>46303</v>
      </c>
    </row>
    <row r="272" spans="2:7" ht="14.25" hidden="1">
      <c r="B272" s="128" t="s">
        <v>1674</v>
      </c>
      <c r="C272" s="128" t="s">
        <v>1960</v>
      </c>
      <c r="D272" s="128" t="s">
        <v>1961</v>
      </c>
      <c r="E272" t="s">
        <v>1273</v>
      </c>
      <c r="G272" s="131">
        <f t="shared" si="43"/>
        <v>46303</v>
      </c>
    </row>
    <row r="273" spans="2:7" ht="14.25" hidden="1">
      <c r="B273" s="128" t="s">
        <v>1479</v>
      </c>
      <c r="C273" s="128" t="s">
        <v>1962</v>
      </c>
      <c r="D273" s="128" t="s">
        <v>1963</v>
      </c>
      <c r="E273" t="s">
        <v>1273</v>
      </c>
      <c r="G273" s="131">
        <f t="shared" si="43"/>
        <v>46303</v>
      </c>
    </row>
    <row r="274" spans="2:7" ht="14.25" hidden="1">
      <c r="B274" s="128" t="s">
        <v>1399</v>
      </c>
      <c r="C274" s="128" t="s">
        <v>1964</v>
      </c>
      <c r="D274" s="128" t="s">
        <v>1965</v>
      </c>
      <c r="E274" t="s">
        <v>1273</v>
      </c>
      <c r="G274" s="131">
        <f t="shared" ref="G274:G275" si="44">DATE(2026,10,7)</f>
        <v>46302</v>
      </c>
    </row>
    <row r="275" spans="2:7" ht="14.25" hidden="1">
      <c r="B275" s="128" t="s">
        <v>1519</v>
      </c>
      <c r="C275" s="128" t="s">
        <v>1966</v>
      </c>
      <c r="D275" s="128" t="s">
        <v>1967</v>
      </c>
      <c r="E275" t="s">
        <v>1273</v>
      </c>
      <c r="G275" s="131">
        <f t="shared" si="44"/>
        <v>46302</v>
      </c>
    </row>
    <row r="276" spans="2:7" ht="14.25">
      <c r="B276" s="116" t="s">
        <v>83</v>
      </c>
      <c r="C276" s="116" t="s">
        <v>1388</v>
      </c>
      <c r="D276" s="121" t="s">
        <v>83</v>
      </c>
      <c r="E276" t="s">
        <v>1278</v>
      </c>
    </row>
    <row r="277" spans="2:7" ht="14.25" hidden="1">
      <c r="B277" s="128" t="s">
        <v>1360</v>
      </c>
      <c r="C277" s="128" t="s">
        <v>1283</v>
      </c>
      <c r="D277" s="128" t="s">
        <v>1968</v>
      </c>
      <c r="E277" t="s">
        <v>1273</v>
      </c>
      <c r="G277" s="131">
        <f>DATE(2026,10,8)</f>
        <v>46303</v>
      </c>
    </row>
    <row r="278" spans="2:7" ht="14.25">
      <c r="B278" s="116" t="s">
        <v>304</v>
      </c>
      <c r="C278" s="116" t="s">
        <v>1343</v>
      </c>
      <c r="D278" s="118" t="s">
        <v>304</v>
      </c>
      <c r="E278" t="s">
        <v>1278</v>
      </c>
    </row>
    <row r="279" spans="2:7" ht="14.25" hidden="1">
      <c r="B279" s="128" t="s">
        <v>1519</v>
      </c>
      <c r="C279" s="128" t="s">
        <v>1969</v>
      </c>
      <c r="D279" s="128" t="s">
        <v>1970</v>
      </c>
      <c r="E279" t="s">
        <v>1273</v>
      </c>
      <c r="G279" s="131">
        <f t="shared" ref="G279:G280" si="45">DATE(2026,10,7)</f>
        <v>46302</v>
      </c>
    </row>
    <row r="280" spans="2:7" ht="14.25" hidden="1">
      <c r="B280" s="128" t="s">
        <v>1422</v>
      </c>
      <c r="C280" s="128" t="s">
        <v>1971</v>
      </c>
      <c r="D280" s="128" t="s">
        <v>1972</v>
      </c>
      <c r="E280" t="s">
        <v>1273</v>
      </c>
      <c r="G280" s="131">
        <f t="shared" si="45"/>
        <v>46302</v>
      </c>
    </row>
    <row r="281" spans="2:7" ht="14.25" hidden="1">
      <c r="B281" s="128" t="s">
        <v>1973</v>
      </c>
      <c r="C281" s="128" t="s">
        <v>1974</v>
      </c>
      <c r="D281" s="128" t="s">
        <v>1975</v>
      </c>
      <c r="E281" t="s">
        <v>1273</v>
      </c>
      <c r="G281" s="131">
        <f t="shared" ref="G281:G289" si="46">DATE(2026,10,8)</f>
        <v>46303</v>
      </c>
    </row>
    <row r="282" spans="2:7" ht="14.25" hidden="1">
      <c r="B282" s="128" t="s">
        <v>1686</v>
      </c>
      <c r="C282" s="128" t="s">
        <v>1976</v>
      </c>
      <c r="D282" s="128" t="s">
        <v>1977</v>
      </c>
      <c r="E282" t="s">
        <v>1273</v>
      </c>
      <c r="G282" s="131">
        <f t="shared" si="46"/>
        <v>46303</v>
      </c>
    </row>
    <row r="283" spans="2:7" ht="14.25" hidden="1">
      <c r="B283" s="128" t="s">
        <v>1978</v>
      </c>
      <c r="C283" s="128" t="s">
        <v>1979</v>
      </c>
      <c r="D283" s="128" t="s">
        <v>1980</v>
      </c>
      <c r="E283" t="s">
        <v>1273</v>
      </c>
      <c r="G283" s="131">
        <f t="shared" si="46"/>
        <v>46303</v>
      </c>
    </row>
    <row r="284" spans="2:7" ht="14.25" hidden="1">
      <c r="B284" s="128" t="s">
        <v>1981</v>
      </c>
      <c r="C284" s="128" t="s">
        <v>1982</v>
      </c>
      <c r="D284" s="128" t="s">
        <v>1983</v>
      </c>
      <c r="E284" t="s">
        <v>1273</v>
      </c>
      <c r="G284" s="131">
        <f t="shared" si="46"/>
        <v>46303</v>
      </c>
    </row>
    <row r="285" spans="2:7" ht="14.25" hidden="1">
      <c r="B285" s="128" t="s">
        <v>1499</v>
      </c>
      <c r="C285" s="128" t="s">
        <v>1984</v>
      </c>
      <c r="D285" s="128" t="s">
        <v>1985</v>
      </c>
      <c r="E285" t="s">
        <v>1273</v>
      </c>
      <c r="G285" s="131">
        <f t="shared" si="46"/>
        <v>46303</v>
      </c>
    </row>
    <row r="286" spans="2:7" ht="14.25" hidden="1">
      <c r="B286" s="128" t="s">
        <v>1505</v>
      </c>
      <c r="C286" s="128" t="s">
        <v>1986</v>
      </c>
      <c r="D286" s="108" t="s">
        <v>1505</v>
      </c>
      <c r="E286" t="s">
        <v>1273</v>
      </c>
      <c r="G286" s="131">
        <f t="shared" si="46"/>
        <v>46303</v>
      </c>
    </row>
    <row r="287" spans="2:7" ht="14.25" hidden="1">
      <c r="B287" s="128" t="s">
        <v>1987</v>
      </c>
      <c r="C287" s="128" t="s">
        <v>1988</v>
      </c>
      <c r="D287" s="128" t="s">
        <v>1989</v>
      </c>
      <c r="E287" t="s">
        <v>1273</v>
      </c>
      <c r="G287" s="131">
        <f t="shared" si="46"/>
        <v>46303</v>
      </c>
    </row>
    <row r="288" spans="2:7" ht="14.25" hidden="1">
      <c r="B288" s="128" t="s">
        <v>1479</v>
      </c>
      <c r="C288" s="128" t="s">
        <v>1990</v>
      </c>
      <c r="D288" s="128" t="s">
        <v>1991</v>
      </c>
      <c r="E288" t="s">
        <v>1273</v>
      </c>
      <c r="G288" s="131">
        <f t="shared" si="46"/>
        <v>46303</v>
      </c>
    </row>
    <row r="289" spans="2:7" ht="14.25" hidden="1">
      <c r="B289" s="128" t="s">
        <v>1992</v>
      </c>
      <c r="C289" s="128" t="s">
        <v>1993</v>
      </c>
      <c r="D289" s="136" t="s">
        <v>1994</v>
      </c>
      <c r="E289" t="s">
        <v>1273</v>
      </c>
      <c r="G289" s="131">
        <f t="shared" si="46"/>
        <v>46303</v>
      </c>
    </row>
    <row r="290" spans="2:7" ht="14.25">
      <c r="B290" s="116" t="s">
        <v>130</v>
      </c>
      <c r="C290" s="116" t="s">
        <v>1350</v>
      </c>
      <c r="D290" s="121" t="s">
        <v>130</v>
      </c>
      <c r="E290" t="s">
        <v>1278</v>
      </c>
    </row>
    <row r="291" spans="2:7" ht="14.25" hidden="1">
      <c r="B291" s="128" t="s">
        <v>1505</v>
      </c>
      <c r="C291" s="128" t="s">
        <v>1995</v>
      </c>
      <c r="D291" s="108" t="s">
        <v>1505</v>
      </c>
      <c r="E291" t="s">
        <v>1273</v>
      </c>
      <c r="G291" s="131">
        <f t="shared" ref="G291:G294" si="47">DATE(2026,10,8)</f>
        <v>46303</v>
      </c>
    </row>
    <row r="292" spans="2:7" ht="14.25" hidden="1">
      <c r="B292" s="128" t="s">
        <v>1479</v>
      </c>
      <c r="C292" s="128" t="s">
        <v>1996</v>
      </c>
      <c r="D292" s="128" t="s">
        <v>1997</v>
      </c>
      <c r="E292" t="s">
        <v>1273</v>
      </c>
      <c r="G292" s="131">
        <f t="shared" si="47"/>
        <v>46303</v>
      </c>
    </row>
    <row r="293" spans="2:7" ht="14.25" hidden="1">
      <c r="B293" s="128" t="s">
        <v>1502</v>
      </c>
      <c r="C293" s="128" t="s">
        <v>1998</v>
      </c>
      <c r="D293" s="128" t="s">
        <v>1999</v>
      </c>
      <c r="E293" t="s">
        <v>1273</v>
      </c>
      <c r="G293" s="131">
        <f t="shared" si="47"/>
        <v>46303</v>
      </c>
    </row>
    <row r="294" spans="2:7" ht="14.25" hidden="1">
      <c r="B294" s="128" t="s">
        <v>1502</v>
      </c>
      <c r="C294" s="128" t="s">
        <v>2000</v>
      </c>
      <c r="D294" s="128" t="s">
        <v>2001</v>
      </c>
      <c r="E294" t="s">
        <v>1273</v>
      </c>
      <c r="G294" s="131">
        <f t="shared" si="47"/>
        <v>46303</v>
      </c>
    </row>
    <row r="295" spans="2:7" ht="14.25" hidden="1">
      <c r="B295" s="128" t="s">
        <v>1525</v>
      </c>
      <c r="C295" s="128" t="s">
        <v>2002</v>
      </c>
      <c r="D295" s="128" t="s">
        <v>2003</v>
      </c>
      <c r="E295" t="s">
        <v>1273</v>
      </c>
      <c r="G295" s="131">
        <f>DATE(2026,10,7)</f>
        <v>46302</v>
      </c>
    </row>
    <row r="296" spans="2:7" ht="14.25">
      <c r="B296" s="116" t="s">
        <v>73</v>
      </c>
      <c r="C296" s="116" t="s">
        <v>1354</v>
      </c>
      <c r="D296" s="122" t="s">
        <v>73</v>
      </c>
      <c r="E296" t="s">
        <v>1278</v>
      </c>
    </row>
    <row r="297" spans="2:7" ht="14.25" hidden="1">
      <c r="B297" s="128" t="s">
        <v>1479</v>
      </c>
      <c r="C297" s="128" t="s">
        <v>2004</v>
      </c>
      <c r="D297" s="128" t="s">
        <v>2005</v>
      </c>
      <c r="E297" t="s">
        <v>1273</v>
      </c>
      <c r="G297" s="131">
        <f>DATE(2026,10,8)</f>
        <v>46303</v>
      </c>
    </row>
    <row r="298" spans="2:7" ht="14.25">
      <c r="B298" s="116" t="s">
        <v>189</v>
      </c>
      <c r="C298" s="116" t="s">
        <v>1438</v>
      </c>
      <c r="D298" s="118" t="s">
        <v>189</v>
      </c>
      <c r="E298" t="s">
        <v>1278</v>
      </c>
    </row>
    <row r="299" spans="2:7" ht="14.25" hidden="1">
      <c r="B299" s="128" t="s">
        <v>1502</v>
      </c>
      <c r="C299" s="128" t="s">
        <v>2006</v>
      </c>
      <c r="D299" s="128" t="s">
        <v>2007</v>
      </c>
      <c r="E299" t="s">
        <v>1273</v>
      </c>
      <c r="G299" s="131">
        <f t="shared" ref="G299:G301" si="48">DATE(2026,10,8)</f>
        <v>46303</v>
      </c>
    </row>
    <row r="300" spans="2:7" ht="14.25" hidden="1">
      <c r="B300" s="128" t="s">
        <v>1483</v>
      </c>
      <c r="C300" s="128" t="s">
        <v>2008</v>
      </c>
      <c r="D300" s="128" t="s">
        <v>2009</v>
      </c>
      <c r="E300" t="s">
        <v>1273</v>
      </c>
      <c r="G300" s="131">
        <f t="shared" si="48"/>
        <v>46303</v>
      </c>
    </row>
    <row r="301" spans="2:7" ht="14.25" hidden="1">
      <c r="B301" s="128" t="s">
        <v>1978</v>
      </c>
      <c r="C301" s="128" t="s">
        <v>2010</v>
      </c>
      <c r="D301" s="128" t="s">
        <v>2011</v>
      </c>
      <c r="E301" t="s">
        <v>1273</v>
      </c>
      <c r="G301" s="131">
        <f t="shared" si="48"/>
        <v>46303</v>
      </c>
    </row>
    <row r="302" spans="2:7" ht="14.25" hidden="1">
      <c r="B302" s="128" t="s">
        <v>1445</v>
      </c>
      <c r="C302" s="128" t="s">
        <v>2012</v>
      </c>
      <c r="D302" s="128" t="s">
        <v>2013</v>
      </c>
      <c r="E302" t="s">
        <v>1273</v>
      </c>
      <c r="G302" s="131">
        <f t="shared" ref="G302:G303" si="49">DATE(2026,10,7)</f>
        <v>46302</v>
      </c>
    </row>
    <row r="303" spans="2:7" ht="14.25" hidden="1">
      <c r="B303" s="128" t="s">
        <v>1519</v>
      </c>
      <c r="C303" s="128" t="s">
        <v>2014</v>
      </c>
      <c r="D303" s="128" t="s">
        <v>2015</v>
      </c>
      <c r="E303" t="s">
        <v>1273</v>
      </c>
      <c r="G303" s="131">
        <f t="shared" si="49"/>
        <v>46302</v>
      </c>
    </row>
    <row r="304" spans="2:7" ht="14.25" hidden="1">
      <c r="B304" s="128" t="s">
        <v>1516</v>
      </c>
      <c r="C304" s="128" t="s">
        <v>2016</v>
      </c>
      <c r="D304" s="108" t="s">
        <v>2017</v>
      </c>
      <c r="E304" t="s">
        <v>1273</v>
      </c>
      <c r="G304" s="131">
        <f>DATE(2026,10,8)</f>
        <v>46303</v>
      </c>
    </row>
    <row r="305" spans="2:7" ht="14.25">
      <c r="B305" s="116" t="s">
        <v>198</v>
      </c>
      <c r="C305" s="116" t="s">
        <v>2018</v>
      </c>
      <c r="D305" s="118" t="s">
        <v>198</v>
      </c>
      <c r="E305" t="s">
        <v>1278</v>
      </c>
    </row>
    <row r="306" spans="2:7" ht="14.25" hidden="1">
      <c r="B306" s="128" t="s">
        <v>1479</v>
      </c>
      <c r="C306" s="128" t="s">
        <v>2019</v>
      </c>
      <c r="D306" s="128" t="s">
        <v>2020</v>
      </c>
      <c r="E306" t="s">
        <v>1273</v>
      </c>
      <c r="G306" s="131">
        <f t="shared" ref="G306:G307" si="50">DATE(2026,10,8)</f>
        <v>46303</v>
      </c>
    </row>
    <row r="307" spans="2:7" ht="14.25" hidden="1">
      <c r="B307" s="128" t="s">
        <v>1487</v>
      </c>
      <c r="C307" s="128" t="s">
        <v>2021</v>
      </c>
      <c r="D307" s="128" t="s">
        <v>2022</v>
      </c>
      <c r="E307" t="s">
        <v>1273</v>
      </c>
      <c r="G307" s="131">
        <f t="shared" si="50"/>
        <v>46303</v>
      </c>
    </row>
    <row r="308" spans="2:7" ht="14.25" hidden="1">
      <c r="B308" s="128" t="s">
        <v>1519</v>
      </c>
      <c r="C308" s="128" t="s">
        <v>2023</v>
      </c>
      <c r="D308" s="128" t="s">
        <v>2024</v>
      </c>
      <c r="E308" t="s">
        <v>1273</v>
      </c>
      <c r="G308" s="131">
        <f>DATE(2026,10,7)</f>
        <v>46302</v>
      </c>
    </row>
    <row r="309" spans="2:7" ht="14.25">
      <c r="B309" s="116" t="s">
        <v>333</v>
      </c>
      <c r="C309" s="116" t="s">
        <v>1409</v>
      </c>
      <c r="D309" s="118" t="s">
        <v>333</v>
      </c>
      <c r="E309" t="s">
        <v>1278</v>
      </c>
    </row>
    <row r="310" spans="2:7" ht="14.25" hidden="1">
      <c r="B310" s="128" t="s">
        <v>1523</v>
      </c>
      <c r="C310" s="128" t="s">
        <v>2025</v>
      </c>
      <c r="D310" s="128" t="s">
        <v>2026</v>
      </c>
      <c r="E310" t="s">
        <v>1273</v>
      </c>
      <c r="G310" s="131">
        <f t="shared" ref="G310:G316" si="51">DATE(2026,10,8)</f>
        <v>46303</v>
      </c>
    </row>
    <row r="311" spans="2:7" ht="14.25" hidden="1">
      <c r="B311" s="128" t="s">
        <v>1505</v>
      </c>
      <c r="C311" s="128" t="s">
        <v>2027</v>
      </c>
      <c r="D311" s="108" t="s">
        <v>1505</v>
      </c>
      <c r="E311" t="s">
        <v>1273</v>
      </c>
      <c r="G311" s="131">
        <f t="shared" si="51"/>
        <v>46303</v>
      </c>
    </row>
    <row r="312" spans="2:7" ht="14.25" hidden="1">
      <c r="B312" s="128" t="s">
        <v>1483</v>
      </c>
      <c r="C312" s="128" t="s">
        <v>2028</v>
      </c>
      <c r="D312" s="128" t="s">
        <v>2029</v>
      </c>
      <c r="E312" t="s">
        <v>1273</v>
      </c>
      <c r="G312" s="131">
        <f t="shared" si="51"/>
        <v>46303</v>
      </c>
    </row>
    <row r="313" spans="2:7" ht="14.25" hidden="1">
      <c r="B313" s="128" t="s">
        <v>1502</v>
      </c>
      <c r="C313" s="128" t="s">
        <v>2030</v>
      </c>
      <c r="D313" s="128" t="s">
        <v>2031</v>
      </c>
      <c r="E313" t="s">
        <v>1273</v>
      </c>
      <c r="G313" s="131">
        <f t="shared" si="51"/>
        <v>46303</v>
      </c>
    </row>
    <row r="314" spans="2:7" ht="14.25" hidden="1">
      <c r="B314" s="128" t="s">
        <v>1502</v>
      </c>
      <c r="C314" s="128" t="s">
        <v>2032</v>
      </c>
      <c r="D314" s="128" t="s">
        <v>2033</v>
      </c>
      <c r="E314" t="s">
        <v>1273</v>
      </c>
      <c r="G314" s="131">
        <f t="shared" si="51"/>
        <v>46303</v>
      </c>
    </row>
    <row r="315" spans="2:7" ht="14.25" hidden="1">
      <c r="B315" s="128" t="s">
        <v>1505</v>
      </c>
      <c r="C315" s="128" t="s">
        <v>2034</v>
      </c>
      <c r="D315" s="108" t="s">
        <v>1505</v>
      </c>
      <c r="E315" t="s">
        <v>1273</v>
      </c>
      <c r="G315" s="131">
        <f t="shared" si="51"/>
        <v>46303</v>
      </c>
    </row>
    <row r="316" spans="2:7" ht="14.25" hidden="1">
      <c r="B316" s="128" t="s">
        <v>1502</v>
      </c>
      <c r="C316" s="128" t="s">
        <v>2035</v>
      </c>
      <c r="D316" s="128" t="s">
        <v>2036</v>
      </c>
      <c r="E316" t="s">
        <v>1273</v>
      </c>
      <c r="G316" s="131">
        <f t="shared" si="51"/>
        <v>46303</v>
      </c>
    </row>
    <row r="317" spans="2:7" ht="14.25" hidden="1">
      <c r="B317" s="128" t="s">
        <v>1519</v>
      </c>
      <c r="C317" s="128" t="s">
        <v>2037</v>
      </c>
      <c r="D317" s="128" t="s">
        <v>2038</v>
      </c>
      <c r="E317" t="s">
        <v>1273</v>
      </c>
      <c r="G317" s="131">
        <f>DATE(2026,10,7)</f>
        <v>46302</v>
      </c>
    </row>
    <row r="318" spans="2:7" ht="14.25" hidden="1">
      <c r="B318" s="128" t="s">
        <v>2039</v>
      </c>
      <c r="C318" s="128" t="s">
        <v>2040</v>
      </c>
      <c r="D318" s="128" t="s">
        <v>2041</v>
      </c>
      <c r="E318" t="s">
        <v>1273</v>
      </c>
      <c r="G318" s="131">
        <f>DATE(2026,10,8)</f>
        <v>46303</v>
      </c>
    </row>
    <row r="319" spans="2:7" ht="14.25" hidden="1">
      <c r="B319" s="128" t="s">
        <v>1519</v>
      </c>
      <c r="C319" s="128" t="s">
        <v>2042</v>
      </c>
      <c r="D319" s="128" t="s">
        <v>2043</v>
      </c>
      <c r="E319" t="s">
        <v>1273</v>
      </c>
      <c r="G319" s="131">
        <f>DATE(2026,10,7)</f>
        <v>46302</v>
      </c>
    </row>
    <row r="320" spans="2:7" ht="14.25" hidden="1">
      <c r="B320" s="128" t="s">
        <v>1502</v>
      </c>
      <c r="C320" s="128" t="s">
        <v>2044</v>
      </c>
      <c r="D320" s="128" t="s">
        <v>2045</v>
      </c>
      <c r="E320" t="s">
        <v>1273</v>
      </c>
      <c r="G320" s="131">
        <f>DATE(2026,10,8)</f>
        <v>46303</v>
      </c>
    </row>
    <row r="321" spans="2:7" ht="14.25">
      <c r="B321" s="116" t="s">
        <v>253</v>
      </c>
      <c r="C321" s="116" t="s">
        <v>1448</v>
      </c>
      <c r="D321" s="118" t="s">
        <v>253</v>
      </c>
      <c r="E321" t="s">
        <v>1278</v>
      </c>
    </row>
    <row r="322" spans="2:7" ht="14.25" hidden="1">
      <c r="B322" s="128" t="s">
        <v>1925</v>
      </c>
      <c r="C322" s="128" t="s">
        <v>2046</v>
      </c>
      <c r="D322" s="128" t="s">
        <v>2047</v>
      </c>
      <c r="E322" t="s">
        <v>1273</v>
      </c>
      <c r="G322" s="131">
        <f>DATE(2026,10,8)</f>
        <v>46303</v>
      </c>
    </row>
    <row r="323" spans="2:7" ht="14.25" hidden="1">
      <c r="B323" s="128" t="s">
        <v>1519</v>
      </c>
      <c r="C323" s="128" t="s">
        <v>2048</v>
      </c>
      <c r="D323" s="128" t="s">
        <v>2049</v>
      </c>
      <c r="E323" t="s">
        <v>1273</v>
      </c>
      <c r="G323" s="131">
        <f t="shared" ref="G323:G324" si="52">DATE(2026,10,7)</f>
        <v>46302</v>
      </c>
    </row>
    <row r="324" spans="2:7" ht="14.25" hidden="1">
      <c r="B324" s="128" t="s">
        <v>1519</v>
      </c>
      <c r="C324" s="128" t="s">
        <v>2050</v>
      </c>
      <c r="D324" s="128" t="s">
        <v>2051</v>
      </c>
      <c r="E324" t="s">
        <v>1273</v>
      </c>
      <c r="G324" s="131">
        <f t="shared" si="52"/>
        <v>46302</v>
      </c>
    </row>
    <row r="325" spans="2:7" ht="14.25" hidden="1">
      <c r="B325" s="128" t="s">
        <v>1505</v>
      </c>
      <c r="C325" s="128" t="s">
        <v>2052</v>
      </c>
      <c r="D325" s="108" t="s">
        <v>1505</v>
      </c>
      <c r="E325" t="s">
        <v>1273</v>
      </c>
      <c r="G325" s="131">
        <f>DATE(2026,10,8)</f>
        <v>46303</v>
      </c>
    </row>
    <row r="326" spans="2:7" ht="14.25" hidden="1">
      <c r="B326" s="128" t="s">
        <v>1525</v>
      </c>
      <c r="C326" s="128" t="s">
        <v>2053</v>
      </c>
      <c r="D326" s="128" t="s">
        <v>2054</v>
      </c>
      <c r="E326" t="s">
        <v>1273</v>
      </c>
      <c r="G326" s="131">
        <f>DATE(2026,10,7)</f>
        <v>46302</v>
      </c>
    </row>
    <row r="327" spans="2:7" ht="14.25" hidden="1">
      <c r="B327" s="128" t="s">
        <v>2055</v>
      </c>
      <c r="C327" s="128" t="s">
        <v>2056</v>
      </c>
      <c r="D327" s="108" t="s">
        <v>2055</v>
      </c>
      <c r="E327" t="s">
        <v>1273</v>
      </c>
      <c r="G327" s="131">
        <f>DATE(2026,10,8)</f>
        <v>46303</v>
      </c>
    </row>
    <row r="328" spans="2:7" ht="14.25" hidden="1">
      <c r="B328" s="128" t="s">
        <v>2057</v>
      </c>
      <c r="C328" s="128" t="s">
        <v>2058</v>
      </c>
      <c r="D328" s="128" t="s">
        <v>2059</v>
      </c>
      <c r="E328" t="s">
        <v>1273</v>
      </c>
      <c r="G328" s="131">
        <f>DATE(2026,10,7)</f>
        <v>46302</v>
      </c>
    </row>
  </sheetData>
  <hyperlinks>
    <hyperlink ref="D123" r:id="rId1" xr:uid="{45F662DD-7948-4B15-9C3D-A9D201149A2E}"/>
    <hyperlink ref="D158" r:id="rId2" xr:uid="{2E923B68-72B9-405D-A263-18C648D091BA}"/>
    <hyperlink ref="D70" r:id="rId3" xr:uid="{276CB454-D1DD-40FD-8827-CD03279A7616}"/>
    <hyperlink ref="D127" r:id="rId4" xr:uid="{3BA00C39-4648-434D-9018-EFE712E106E1}"/>
    <hyperlink ref="D217" r:id="rId5" xr:uid="{835CAA73-9678-4305-8B60-92450490FDE6}"/>
    <hyperlink ref="D188" r:id="rId6" xr:uid="{427A2C93-0CE0-4526-98C2-5CD19F28CC76}"/>
    <hyperlink ref="D2" r:id="rId7" xr:uid="{5328A5D8-91E9-42B5-8DEC-0A6414CF1EAD}"/>
    <hyperlink ref="D114" r:id="rId8" xr:uid="{2E8ABDE4-2E6C-4983-A6F6-A46F402314DC}"/>
    <hyperlink ref="D321" r:id="rId9" xr:uid="{F0ABBF93-A039-4510-9794-D3AF1BCF2D94}"/>
    <hyperlink ref="D298" r:id="rId10" xr:uid="{0EA83936-F217-4861-8F6F-B1E82316BFBA}"/>
    <hyperlink ref="D253" r:id="rId11" xr:uid="{8AAF8236-AAA9-4C05-9CC9-D6E214FE655F}"/>
    <hyperlink ref="D224" r:id="rId12" xr:uid="{A30FB630-270C-43D8-B658-9F40928DD128}"/>
    <hyperlink ref="D203" r:id="rId13" xr:uid="{F1E97274-2BB0-4123-A799-098D5A017142}"/>
    <hyperlink ref="D278" r:id="rId14" xr:uid="{E5EB38BC-56FD-44E4-9269-D4F5C734223B}"/>
    <hyperlink ref="D175" r:id="rId15" xr:uid="{9CDB91F4-7CED-46DF-BD5B-6D232BFFB72B}"/>
    <hyperlink ref="D152" r:id="rId16" xr:uid="{AD6CA32F-BE34-48CE-9AAB-DDD2CCD7623C}"/>
    <hyperlink ref="D218" r:id="rId17" xr:uid="{2BFDF857-B3FB-4090-A724-AF00C34E8F52}"/>
    <hyperlink ref="D221" r:id="rId18" xr:uid="{55612003-AC25-4921-8D29-61887CC15E95}"/>
    <hyperlink ref="D214" r:id="rId19" xr:uid="{24D6B5E8-38D7-46FB-BD49-DB3152BC5DD4}"/>
    <hyperlink ref="D3" r:id="rId20" xr:uid="{094E2D95-C8F7-405C-94E2-BCC450064F14}"/>
    <hyperlink ref="D13" r:id="rId21" display="https://us-east-1.quicksight.aws.amazon.com/sn/analyses/07222feb-9dff-408b-a39a-d335527fb7df" xr:uid="{9A914A60-8636-4A05-8AEA-5AF45212266A}"/>
    <hyperlink ref="D296" r:id="rId22" xr:uid="{D1E572DD-DA50-40D6-B650-8AA3C950CF5A}"/>
    <hyperlink ref="D14" r:id="rId23" display="https://us-east-1.quicksight.aws.amazon.com/sn/analyses/07658da9-d757-4f8f-9772-50131d9de9e1" xr:uid="{6A64989B-A952-45AE-B00B-17F2EB55E130}"/>
    <hyperlink ref="D290" r:id="rId24" xr:uid="{7C9A4624-9F4C-4343-AF34-690A26126543}"/>
    <hyperlink ref="D276" r:id="rId25" xr:uid="{93737C99-F599-4070-9F0B-E89FF1A16C3D}"/>
    <hyperlink ref="D31" r:id="rId26" xr:uid="{32F26A7D-47C2-4C68-80B5-4B4B4BB247C4}"/>
    <hyperlink ref="D260" r:id="rId27" xr:uid="{8E2EDE26-A472-43A2-A9B2-C0B2EC524CCC}"/>
    <hyperlink ref="D226" r:id="rId28" xr:uid="{382DD4D8-C981-4D90-9C8C-86ECFFD389EE}"/>
    <hyperlink ref="D219" r:id="rId29" xr:uid="{B48113EC-811F-4B1E-900F-C10929F20805}"/>
    <hyperlink ref="D42" r:id="rId30" xr:uid="{3BFDD77A-62A5-4A05-9DB0-C5FDDDB44D39}"/>
    <hyperlink ref="D184" r:id="rId31" xr:uid="{28DA2943-68CB-4014-9A42-61D0B2CC2460}"/>
    <hyperlink ref="D171" r:id="rId32" xr:uid="{3689063C-5D12-4F58-A1F9-9EE873A1955B}"/>
    <hyperlink ref="D157" r:id="rId33" display="https://us-east-1.quicksight.aws.amazon.com/sn/account/mdp-ponal/analyses/7f9bd137-7c90-4e36-a3ea-f9c1de1ea35b" xr:uid="{B137EFC0-8B7B-465A-8C35-F429324E3E86}"/>
    <hyperlink ref="D124" r:id="rId34" xr:uid="{B774972B-5797-4CB6-B064-A6F130892923}"/>
    <hyperlink ref="D105" r:id="rId35" xr:uid="{05253FD6-741E-4472-AAE1-3BABA3C8C5FD}"/>
    <hyperlink ref="D84" r:id="rId36" xr:uid="{6A20EEE9-2070-47E7-A535-6A836B0D7954}"/>
    <hyperlink ref="D103" r:id="rId37" xr:uid="{710D7948-FA77-4E67-AA7F-154ACD68120A}"/>
    <hyperlink ref="D90" r:id="rId38" xr:uid="{34572C12-D455-4DAB-BFDD-6C80BCC0EB92}"/>
    <hyperlink ref="D309" r:id="rId39" xr:uid="{F645633B-9375-4EE4-8F3F-C7C04700425F}"/>
    <hyperlink ref="D139" r:id="rId40" xr:uid="{A636EC4D-CFBB-4BEF-8C44-3391064846F3}"/>
    <hyperlink ref="D4" r:id="rId41" xr:uid="{77199DA4-CD0B-429F-8729-581D08DB929B}"/>
    <hyperlink ref="D6" r:id="rId42" xr:uid="{1EB6FC38-2693-4C89-BD85-FFB467D64059}"/>
    <hyperlink ref="D5" r:id="rId43" xr:uid="{787C3F22-687C-4DDD-AEAB-395BD02D8A1D}"/>
    <hyperlink ref="D7" r:id="rId44" xr:uid="{339242ED-93E2-45A5-AC74-EC1F9724C92B}"/>
    <hyperlink ref="D8" r:id="rId45" xr:uid="{E0A9D5B1-4207-4E9F-A364-32CA7BDF1185}"/>
    <hyperlink ref="D9" r:id="rId46" xr:uid="{9D38BC7E-F0B2-4F1B-8957-D054BF1AFB9E}"/>
    <hyperlink ref="D10" r:id="rId47" xr:uid="{0E0CC9C7-5948-4F32-BE40-15381BDD1B1B}"/>
    <hyperlink ref="D11" r:id="rId48" xr:uid="{A7623CF2-D976-4642-91EC-3C57E43E3503}"/>
    <hyperlink ref="D12" r:id="rId49" xr:uid="{FB542489-CC2D-426E-B651-957D4A63B19F}"/>
    <hyperlink ref="D15" r:id="rId50" xr:uid="{B0195C5F-E24C-45D2-B9E6-5186CE973F8E}"/>
    <hyperlink ref="D16" r:id="rId51" xr:uid="{15FA7668-27EB-4180-A616-156B8D00BB5B}"/>
    <hyperlink ref="D17" r:id="rId52" xr:uid="{A1BF5EF2-0A38-49FD-9A74-E48E6A01CB04}"/>
    <hyperlink ref="D18" r:id="rId53" xr:uid="{295D5512-F2E7-4E23-9854-3B4A04AFF163}"/>
    <hyperlink ref="D19" r:id="rId54" xr:uid="{7DA55FA3-4CC1-4F37-A571-BF3573306B3D}"/>
    <hyperlink ref="D20" r:id="rId55" xr:uid="{CF1A9A34-52C9-49DB-90EF-B1DC7FFBE832}"/>
    <hyperlink ref="D21" r:id="rId56" xr:uid="{4B89A0E6-6FCD-49A6-9DD0-56CEB0540DF3}"/>
    <hyperlink ref="D22" r:id="rId57" xr:uid="{4AE3F729-021A-47A2-A1B1-E2D5027C69E9}"/>
    <hyperlink ref="D23" r:id="rId58" xr:uid="{34B4997A-9711-4837-84CE-9AC14F040BCA}"/>
    <hyperlink ref="D24" r:id="rId59" xr:uid="{AD1ABA9B-73DA-4D83-BEE4-089164B88B88}"/>
    <hyperlink ref="D25" r:id="rId60" xr:uid="{8AF075E5-D567-4EF3-8901-09D0EBEB8FB1}"/>
    <hyperlink ref="D26" r:id="rId61" xr:uid="{D15DA8EA-3A1C-4D7C-AAAD-35137CE10D2B}"/>
    <hyperlink ref="D27" r:id="rId62" xr:uid="{F78DB668-0B23-4152-BBA7-ED10906F9014}"/>
    <hyperlink ref="D28" r:id="rId63" xr:uid="{71E87E4F-387D-4689-B70D-099147F33087}"/>
    <hyperlink ref="D29" r:id="rId64" xr:uid="{DB62AF0C-CF4B-4003-B77A-1541287EDDC5}"/>
    <hyperlink ref="D30" r:id="rId65" xr:uid="{E0329613-9E39-499A-A9B3-AD36B85A2707}"/>
    <hyperlink ref="D32" r:id="rId66" xr:uid="{4B7C40F7-855D-41B7-BC40-D9BEB0B0235B}"/>
    <hyperlink ref="D33" r:id="rId67" xr:uid="{93185537-0438-4DDA-A0A7-1A4A65B6DADF}"/>
    <hyperlink ref="D34" r:id="rId68" xr:uid="{3A8FB0B4-E867-489D-A791-6CEDAF701087}"/>
    <hyperlink ref="D35" r:id="rId69" xr:uid="{5508B917-FCB2-49B6-AA10-CC1C5F0AC942}"/>
    <hyperlink ref="D36" r:id="rId70" xr:uid="{885641C7-9519-4E5C-9507-6B6B579C0C12}"/>
    <hyperlink ref="D37" r:id="rId71" xr:uid="{B5A6C353-FE81-4631-A734-8A8E174B0CE4}"/>
    <hyperlink ref="D327" r:id="rId72" xr:uid="{E397EC76-05A3-4179-BB70-392E0B33FF05}"/>
    <hyperlink ref="D38" r:id="rId73" xr:uid="{177D83B5-42DD-443F-B3C2-EB16FA5A13D2}"/>
    <hyperlink ref="D101" r:id="rId74" xr:uid="{8404BFBB-A2B9-41F5-9F37-4D329F731E84}"/>
    <hyperlink ref="D39" r:id="rId75" xr:uid="{3B99974F-2893-47AB-BD14-7B8DCB30DBF2}"/>
    <hyperlink ref="D96" r:id="rId76" xr:uid="{74B97387-D5A6-448C-BEFB-6EFBF758D3DF}"/>
    <hyperlink ref="D93" r:id="rId77" xr:uid="{CF042D18-69F5-4E92-A847-034D75F22458}"/>
    <hyperlink ref="D40" r:id="rId78" xr:uid="{AC576675-B0C6-4600-A373-5C06A27B8138}"/>
    <hyperlink ref="D86" r:id="rId79" xr:uid="{32C573D5-2060-499E-AE1F-A32F17445BB7}"/>
    <hyperlink ref="D80" r:id="rId80" xr:uid="{631B5E2C-B101-4F3F-966D-1A9D08958290}"/>
    <hyperlink ref="D41" r:id="rId81" xr:uid="{1772D1EF-F406-4118-9CE6-F45E159CE0D4}"/>
    <hyperlink ref="D55" r:id="rId82" xr:uid="{C5518E2B-4B07-48FF-BDEE-93059D38D8B3}"/>
    <hyperlink ref="D43" r:id="rId83" xr:uid="{028C3544-6417-4347-B56A-0170C3B5C1B3}"/>
    <hyperlink ref="D44" r:id="rId84" xr:uid="{2663D482-50EF-4240-AD70-213FDE0CB731}"/>
    <hyperlink ref="D45" r:id="rId85" xr:uid="{DFD1DC1B-1B65-4CEA-B1C3-6124BDF9D4B2}"/>
    <hyperlink ref="D46" r:id="rId86" xr:uid="{83F7E0F5-0A6A-4B08-98C8-7576C04357DF}"/>
    <hyperlink ref="D325" r:id="rId87" xr:uid="{DD49F47D-33F2-42DE-9602-AE88FEEA3DC1}"/>
    <hyperlink ref="D315" r:id="rId88" xr:uid="{13F8FC84-4790-4E44-B982-42EAC6481A96}"/>
    <hyperlink ref="D311" r:id="rId89" xr:uid="{09806D83-CA05-4512-B29D-9F488D8C5914}"/>
    <hyperlink ref="D47" r:id="rId90" xr:uid="{51B9BD6B-6357-4353-84ED-38AE41B9BB5F}"/>
    <hyperlink ref="D291" r:id="rId91" xr:uid="{F57048E3-9D8D-4EA7-A0C2-D5D346844DE4}"/>
    <hyperlink ref="D286" r:id="rId92" xr:uid="{FF0C8C81-9B48-4D27-8244-760016A48298}"/>
    <hyperlink ref="D269" r:id="rId93" xr:uid="{96D334AA-05D7-4BBF-9C92-97453D8F4C6B}"/>
    <hyperlink ref="D257" r:id="rId94" xr:uid="{A51BD7CF-8673-45C9-A5B8-6DC3D2068931}"/>
    <hyperlink ref="D245" r:id="rId95" xr:uid="{774EEEAC-EDC3-49AF-B797-A17BCB396331}"/>
    <hyperlink ref="D228" r:id="rId96" xr:uid="{207A164F-5A7C-4D04-B93B-5A074CED76D5}"/>
    <hyperlink ref="D48" r:id="rId97" xr:uid="{7B3071F5-0F70-4584-A566-4AD6E4A4407F}"/>
    <hyperlink ref="D216" r:id="rId98" xr:uid="{AB6DEB32-38EC-4F21-8CA9-E8D3D078C665}"/>
    <hyperlink ref="D213" r:id="rId99" xr:uid="{BC9289A0-09F8-426B-839F-35B17EBF3E3E}"/>
    <hyperlink ref="D207" r:id="rId100" xr:uid="{DF675DCF-88B6-4AAE-B61D-52C9B3FB8D41}"/>
    <hyperlink ref="D197" r:id="rId101" xr:uid="{AE37657E-D0D0-4686-A466-BEAE4E7E7B4D}"/>
    <hyperlink ref="D195" r:id="rId102" xr:uid="{16477F5A-4717-4C5E-B0A9-88DE67E1B727}"/>
    <hyperlink ref="D49" r:id="rId103" xr:uid="{FEED376A-A1F6-49A1-9ACD-0675F11495F9}"/>
    <hyperlink ref="D192" r:id="rId104" xr:uid="{B362E30B-DDC9-4D9E-9BAF-A3FF93D1B10D}"/>
    <hyperlink ref="D183" r:id="rId105" xr:uid="{E6DEFE5D-DF60-4BB5-A9A2-D0C251F77E7C}"/>
    <hyperlink ref="D50" r:id="rId106" xr:uid="{7F206EF6-2D85-467E-993E-41399DF183AF}"/>
    <hyperlink ref="D181" r:id="rId107" xr:uid="{9FD313B2-EB04-4151-95D2-FEDD0BF2323E}"/>
    <hyperlink ref="D180" r:id="rId108" xr:uid="{E9F50CB7-9070-42D2-BDBA-BC3E31E01DCC}"/>
    <hyperlink ref="D159" r:id="rId109" xr:uid="{140239AE-9C07-4014-9722-64276F41E6CC}"/>
    <hyperlink ref="D141" r:id="rId110" xr:uid="{6E01E847-7A89-4263-80B2-58EA34C19602}"/>
    <hyperlink ref="D134" r:id="rId111" xr:uid="{456AD972-8A99-4081-8629-100D009C181F}"/>
    <hyperlink ref="D130" r:id="rId112" xr:uid="{A7FB01BE-8E9B-43CD-96D5-C2089EDA68EF}"/>
    <hyperlink ref="D128" r:id="rId113" xr:uid="{4ED9CE12-B53B-4446-A1D4-BF87080E8993}"/>
    <hyperlink ref="D118" r:id="rId114" xr:uid="{0B619ED6-2850-4BD7-AE4C-47E6080A559C}"/>
    <hyperlink ref="D115" r:id="rId115" xr:uid="{98C82FD2-4C26-44DE-AA8C-94F9D0A459A0}"/>
    <hyperlink ref="D51" r:id="rId116" xr:uid="{4136625D-0E5D-48C7-BE0D-7CEB9672A7DF}"/>
    <hyperlink ref="D52" r:id="rId117" xr:uid="{5274754F-8BBC-46C9-BAD7-45D2BE3F4D28}"/>
    <hyperlink ref="D53" r:id="rId118" xr:uid="{3DCCD469-22AD-4C05-86AF-743AD8A75B50}"/>
    <hyperlink ref="D54" r:id="rId119" xr:uid="{2C971E4D-F0FD-471A-9403-9B4C9CDC567C}"/>
    <hyperlink ref="D56" r:id="rId120" xr:uid="{44D8B20C-1621-4D51-A568-6E3331F474BD}"/>
    <hyperlink ref="D57" r:id="rId121" xr:uid="{D82D9574-95B3-4C90-9AEC-A6392C8046C8}"/>
    <hyperlink ref="D58" r:id="rId122" xr:uid="{488A4DE8-1520-4EFD-8646-C03C58BA5300}"/>
    <hyperlink ref="D60" r:id="rId123" xr:uid="{98CE2B75-840D-4456-B693-A99620F5CFC3}"/>
    <hyperlink ref="D59" r:id="rId124" xr:uid="{37ABEE6D-E76A-43FD-85F3-57740CB04582}"/>
    <hyperlink ref="D61" r:id="rId125" xr:uid="{A6B5D828-1978-492D-B396-962A4417BDB3}"/>
    <hyperlink ref="D62" r:id="rId126" xr:uid="{139CBFF4-9773-418F-B17C-AC17C05BD6F2}"/>
    <hyperlink ref="D63" r:id="rId127" xr:uid="{568BF6B7-AD9C-4483-A304-D20877396D0B}"/>
    <hyperlink ref="D65" r:id="rId128" xr:uid="{138DA706-D602-4A18-B3F4-715596722FD1}"/>
    <hyperlink ref="D67" r:id="rId129" xr:uid="{DBD203A1-EB90-4ED6-9E64-6A78FF8EC1EE}"/>
    <hyperlink ref="D304" r:id="rId130" xr:uid="{F486F833-CA3F-4862-A451-DC0C489B1D83}"/>
    <hyperlink ref="D99" r:id="rId131" xr:uid="{888981A1-2145-4593-AFC3-5D1D70BD97D0}"/>
    <hyperlink ref="D240" r:id="rId132" xr:uid="{8B5E5684-B388-47E7-8D9C-6856298263B3}"/>
    <hyperlink ref="D239" r:id="rId133" xr:uid="{89F78D5D-87AC-4100-9B8B-9A8ABD082A68}"/>
    <hyperlink ref="D100" r:id="rId134" xr:uid="{4DDA1ED2-CD81-4D95-8C86-21FAA11187D8}"/>
    <hyperlink ref="D104" r:id="rId135" xr:uid="{24D6E37A-1423-4DD5-A7B4-FFD00E43305A}"/>
    <hyperlink ref="D108" r:id="rId136" xr:uid="{585C0CC9-4CD8-4823-88DC-BBAD3645D69B}"/>
    <hyperlink ref="D111" r:id="rId137" xr:uid="{08341814-54FB-41CD-ACC5-D68B5D3E3705}"/>
    <hyperlink ref="D113" r:id="rId138" xr:uid="{11634074-2F5C-4E01-ADF5-44D1EC182D32}"/>
    <hyperlink ref="D129" r:id="rId139" xr:uid="{F64014EB-5E36-4F6E-AD76-203A148ADFCB}"/>
    <hyperlink ref="D142" r:id="rId140" xr:uid="{0D12C52B-D4FE-4DF3-83AF-F630ED6702C6}"/>
    <hyperlink ref="D133" r:id="rId141" xr:uid="{1DFD99BC-6F53-4E9E-BA80-8B8E95518906}"/>
    <hyperlink ref="D140" r:id="rId142" xr:uid="{58382CE1-AD60-4D9A-8C7C-21E04A6B83B1}"/>
    <hyperlink ref="D233" r:id="rId143" xr:uid="{9EAFBA86-6054-4060-A3AB-47FCC157B0DB}"/>
    <hyperlink ref="D305" r:id="rId144" xr:uid="{710F5958-3A7A-48B9-A8A5-329EA0589E20}"/>
    <hyperlink ref="D116" r:id="rId145" xr:uid="{A7EDC290-32BC-4B64-9AD3-8D8B1DD6E36D}"/>
    <hyperlink ref="D289" r:id="rId146" xr:uid="{B8983157-872F-40C7-9DA0-1110D6BE3294}"/>
    <hyperlink ref="D248" r:id="rId147" xr:uid="{C13BEAC0-BDB0-4964-9E2E-941775FE7B61}"/>
    <hyperlink ref="D178" r:id="rId148" xr:uid="{320B6B24-0F73-4FC0-8FAD-5554CD5992B1}"/>
    <hyperlink ref="D149" r:id="rId149" xr:uid="{19DF6C24-4C39-4DC2-99FD-6AE3675B9299}"/>
    <hyperlink ref="D143" r:id="rId150" xr:uid="{84209A75-5B8C-42F1-A472-923873A0F892}"/>
    <hyperlink ref="D95" r:id="rId151" xr:uid="{A7060145-099C-432B-9A37-91D574DD5ED4}"/>
    <hyperlink ref="D75" r:id="rId152" xr:uid="{D066CE50-EC83-48C7-8A84-1409378AD92F}"/>
    <hyperlink ref="D189" r:id="rId153" xr:uid="{CD221182-707C-4813-8D79-300516DBA975}"/>
  </hyperlinks>
  <pageMargins left="0.7" right="0.7" top="0.75" bottom="0.75" header="0.3" footer="0.3"/>
  <tableParts count="1">
    <tablePart r:id="rId15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449B-94CD-472C-BA86-988DB1FD3AE1}">
  <dimension ref="B1:G178"/>
  <sheetViews>
    <sheetView workbookViewId="0">
      <pane ySplit="1" topLeftCell="A2" activePane="bottomLeft" state="frozen"/>
      <selection pane="bottomLeft" activeCell="E44" sqref="E44"/>
    </sheetView>
  </sheetViews>
  <sheetFormatPr defaultRowHeight="12.75"/>
  <cols>
    <col min="2" max="2" width="59.7109375" bestFit="1" customWidth="1"/>
    <col min="3" max="3" width="37.28515625" bestFit="1" customWidth="1"/>
    <col min="4" max="4" width="86.5703125" bestFit="1" customWidth="1"/>
    <col min="5" max="5" width="11.7109375" bestFit="1" customWidth="1"/>
    <col min="6" max="6" width="10" bestFit="1" customWidth="1"/>
    <col min="7" max="7" width="9.85546875" bestFit="1" customWidth="1"/>
  </cols>
  <sheetData>
    <row r="1" spans="2:7">
      <c r="B1" s="142" t="s">
        <v>2060</v>
      </c>
      <c r="C1" s="142" t="s">
        <v>2061</v>
      </c>
      <c r="D1" t="s">
        <v>2062</v>
      </c>
      <c r="E1" t="s">
        <v>1267</v>
      </c>
      <c r="F1" t="s">
        <v>1268</v>
      </c>
      <c r="G1" t="s">
        <v>1269</v>
      </c>
    </row>
    <row r="2" spans="2:7">
      <c r="B2" s="143" t="s">
        <v>2063</v>
      </c>
      <c r="C2" s="143" t="s">
        <v>2064</v>
      </c>
      <c r="D2" s="118" t="s">
        <v>2065</v>
      </c>
      <c r="E2" t="s">
        <v>1278</v>
      </c>
    </row>
    <row r="3" spans="2:7" hidden="1">
      <c r="B3" s="145" t="s">
        <v>2066</v>
      </c>
      <c r="C3" s="145" t="s">
        <v>2067</v>
      </c>
      <c r="D3" s="145" t="s">
        <v>2068</v>
      </c>
      <c r="E3" t="s">
        <v>1273</v>
      </c>
      <c r="G3" s="132">
        <f>DATE(2026,10,8)</f>
        <v>46303</v>
      </c>
    </row>
    <row r="4" spans="2:7">
      <c r="B4" s="143" t="s">
        <v>2069</v>
      </c>
      <c r="C4" s="143" t="s">
        <v>2070</v>
      </c>
      <c r="D4" s="143" t="s">
        <v>2071</v>
      </c>
      <c r="E4" t="s">
        <v>1278</v>
      </c>
    </row>
    <row r="5" spans="2:7" hidden="1">
      <c r="B5" s="145" t="s">
        <v>2072</v>
      </c>
      <c r="C5" s="145" t="s">
        <v>2073</v>
      </c>
      <c r="D5" s="145" t="s">
        <v>2074</v>
      </c>
      <c r="E5" t="s">
        <v>1273</v>
      </c>
      <c r="G5" s="131">
        <f>DATE(2026,10,9)</f>
        <v>46304</v>
      </c>
    </row>
    <row r="6" spans="2:7" hidden="1">
      <c r="B6" s="145" t="s">
        <v>2075</v>
      </c>
      <c r="C6" s="145" t="s">
        <v>2076</v>
      </c>
      <c r="D6" s="145" t="s">
        <v>2077</v>
      </c>
      <c r="E6" t="s">
        <v>1273</v>
      </c>
      <c r="G6" s="132">
        <f>DATE(2026,10,8)</f>
        <v>46303</v>
      </c>
    </row>
    <row r="7" spans="2:7">
      <c r="B7" s="143" t="s">
        <v>27</v>
      </c>
      <c r="C7" s="143" t="s">
        <v>2078</v>
      </c>
      <c r="D7" s="143" t="s">
        <v>2079</v>
      </c>
      <c r="E7" t="s">
        <v>1278</v>
      </c>
    </row>
    <row r="8" spans="2:7" hidden="1">
      <c r="B8" s="145" t="s">
        <v>2080</v>
      </c>
      <c r="C8" s="145" t="s">
        <v>2081</v>
      </c>
      <c r="D8" s="108" t="s">
        <v>2082</v>
      </c>
      <c r="E8" t="s">
        <v>1273</v>
      </c>
      <c r="G8" s="132">
        <f>DATE(2026,10,8)</f>
        <v>46303</v>
      </c>
    </row>
    <row r="9" spans="2:7">
      <c r="B9" s="143" t="s">
        <v>2083</v>
      </c>
      <c r="C9" s="143" t="s">
        <v>2084</v>
      </c>
      <c r="D9" s="143" t="s">
        <v>2085</v>
      </c>
      <c r="E9" t="s">
        <v>1278</v>
      </c>
    </row>
    <row r="10" spans="2:7">
      <c r="B10" s="143" t="s">
        <v>2086</v>
      </c>
      <c r="C10" s="143" t="s">
        <v>2087</v>
      </c>
      <c r="D10" s="143" t="s">
        <v>2088</v>
      </c>
      <c r="E10" t="s">
        <v>1278</v>
      </c>
    </row>
    <row r="11" spans="2:7" hidden="1">
      <c r="B11" s="145" t="s">
        <v>2089</v>
      </c>
      <c r="C11" s="145" t="s">
        <v>2090</v>
      </c>
      <c r="D11" s="145" t="s">
        <v>2091</v>
      </c>
      <c r="E11" t="s">
        <v>1273</v>
      </c>
      <c r="G11" s="132">
        <f>DATE(2026,10,8)</f>
        <v>46303</v>
      </c>
    </row>
    <row r="12" spans="2:7">
      <c r="B12" s="143" t="s">
        <v>2092</v>
      </c>
      <c r="C12" s="143" t="s">
        <v>2093</v>
      </c>
      <c r="D12" s="143" t="s">
        <v>2094</v>
      </c>
      <c r="E12" t="s">
        <v>1278</v>
      </c>
    </row>
    <row r="13" spans="2:7">
      <c r="B13" s="143" t="s">
        <v>238</v>
      </c>
      <c r="C13" s="143" t="s">
        <v>2095</v>
      </c>
      <c r="D13" s="143" t="s">
        <v>2096</v>
      </c>
      <c r="E13" t="s">
        <v>1278</v>
      </c>
    </row>
    <row r="14" spans="2:7" hidden="1">
      <c r="B14" s="145" t="s">
        <v>2097</v>
      </c>
      <c r="C14" s="145" t="s">
        <v>2098</v>
      </c>
      <c r="D14" s="145" t="s">
        <v>2099</v>
      </c>
      <c r="E14" t="s">
        <v>1273</v>
      </c>
      <c r="G14" s="132">
        <f>DATE(2026,10,8)</f>
        <v>46303</v>
      </c>
    </row>
    <row r="15" spans="2:7">
      <c r="B15" s="143" t="s">
        <v>2100</v>
      </c>
      <c r="C15" s="143" t="s">
        <v>2101</v>
      </c>
      <c r="D15" s="143" t="s">
        <v>2102</v>
      </c>
      <c r="E15" t="s">
        <v>1278</v>
      </c>
    </row>
    <row r="16" spans="2:7" hidden="1">
      <c r="B16" s="145" t="s">
        <v>2103</v>
      </c>
      <c r="C16" s="145" t="s">
        <v>2104</v>
      </c>
      <c r="D16" s="145" t="s">
        <v>2105</v>
      </c>
      <c r="E16" t="s">
        <v>1273</v>
      </c>
      <c r="G16" s="132">
        <f t="shared" ref="G16:G17" si="0">DATE(2026,10,8)</f>
        <v>46303</v>
      </c>
    </row>
    <row r="17" spans="2:7" hidden="1">
      <c r="B17" s="145" t="s">
        <v>2106</v>
      </c>
      <c r="C17" s="145" t="s">
        <v>2107</v>
      </c>
      <c r="D17" s="145" t="s">
        <v>2108</v>
      </c>
      <c r="E17" t="s">
        <v>1273</v>
      </c>
      <c r="G17" s="132">
        <f t="shared" si="0"/>
        <v>46303</v>
      </c>
    </row>
    <row r="18" spans="2:7">
      <c r="B18" s="143" t="s">
        <v>190</v>
      </c>
      <c r="C18" s="143" t="s">
        <v>2109</v>
      </c>
      <c r="D18" s="143" t="s">
        <v>2110</v>
      </c>
      <c r="E18" t="s">
        <v>1278</v>
      </c>
    </row>
    <row r="19" spans="2:7" hidden="1">
      <c r="B19" s="145" t="s">
        <v>2111</v>
      </c>
      <c r="C19" s="145" t="s">
        <v>2112</v>
      </c>
      <c r="D19" s="145" t="s">
        <v>2113</v>
      </c>
      <c r="E19" t="s">
        <v>1273</v>
      </c>
      <c r="G19" s="132">
        <f>DATE(2026,10,8)</f>
        <v>46303</v>
      </c>
    </row>
    <row r="20" spans="2:7">
      <c r="B20" s="143" t="s">
        <v>2114</v>
      </c>
      <c r="C20" s="143" t="s">
        <v>2115</v>
      </c>
      <c r="D20" s="143" t="s">
        <v>2116</v>
      </c>
      <c r="E20" t="s">
        <v>1278</v>
      </c>
    </row>
    <row r="21" spans="2:7" hidden="1">
      <c r="B21" s="145" t="s">
        <v>2117</v>
      </c>
      <c r="C21" s="145" t="s">
        <v>2118</v>
      </c>
      <c r="D21" s="145" t="s">
        <v>2119</v>
      </c>
      <c r="E21" t="s">
        <v>1273</v>
      </c>
      <c r="G21" s="132">
        <f>DATE(2026,10,8)</f>
        <v>46303</v>
      </c>
    </row>
    <row r="22" spans="2:7">
      <c r="B22" s="143" t="s">
        <v>2120</v>
      </c>
      <c r="C22" s="143" t="s">
        <v>2121</v>
      </c>
      <c r="D22" s="143" t="s">
        <v>2122</v>
      </c>
      <c r="E22" t="s">
        <v>1278</v>
      </c>
    </row>
    <row r="23" spans="2:7" hidden="1">
      <c r="B23" s="145" t="s">
        <v>2123</v>
      </c>
      <c r="C23" s="145" t="s">
        <v>2124</v>
      </c>
      <c r="D23" s="145" t="s">
        <v>2125</v>
      </c>
      <c r="E23" t="s">
        <v>1273</v>
      </c>
      <c r="G23" s="132">
        <f>DATE(2026,10,8)</f>
        <v>46303</v>
      </c>
    </row>
    <row r="24" spans="2:7" hidden="1">
      <c r="B24" s="171" t="s">
        <v>1384</v>
      </c>
      <c r="C24" s="171" t="s">
        <v>2126</v>
      </c>
      <c r="D24" s="171" t="s">
        <v>2127</v>
      </c>
      <c r="E24" t="s">
        <v>1558</v>
      </c>
      <c r="F24" t="s">
        <v>2128</v>
      </c>
    </row>
    <row r="25" spans="2:7">
      <c r="B25" s="143" t="s">
        <v>246</v>
      </c>
      <c r="C25" s="143" t="s">
        <v>2129</v>
      </c>
      <c r="D25" s="143" t="s">
        <v>2130</v>
      </c>
      <c r="E25" t="s">
        <v>1278</v>
      </c>
    </row>
    <row r="26" spans="2:7">
      <c r="B26" s="143" t="s">
        <v>2131</v>
      </c>
      <c r="C26" s="143" t="s">
        <v>2132</v>
      </c>
      <c r="D26" s="143" t="s">
        <v>2133</v>
      </c>
      <c r="E26" t="s">
        <v>1278</v>
      </c>
    </row>
    <row r="27" spans="2:7" hidden="1">
      <c r="B27" s="145" t="s">
        <v>2134</v>
      </c>
      <c r="C27" s="145" t="s">
        <v>2135</v>
      </c>
      <c r="D27" s="145" t="s">
        <v>2136</v>
      </c>
      <c r="E27" t="s">
        <v>1273</v>
      </c>
      <c r="G27" s="132">
        <f>DATE(2026,10,8)</f>
        <v>46303</v>
      </c>
    </row>
    <row r="28" spans="2:7">
      <c r="B28" s="143" t="s">
        <v>2137</v>
      </c>
      <c r="C28" s="143" t="s">
        <v>2138</v>
      </c>
      <c r="D28" s="143" t="s">
        <v>2139</v>
      </c>
      <c r="E28" t="s">
        <v>1278</v>
      </c>
    </row>
    <row r="29" spans="2:7">
      <c r="B29" s="143" t="s">
        <v>2140</v>
      </c>
      <c r="C29" s="143" t="s">
        <v>2141</v>
      </c>
      <c r="D29" s="143" t="s">
        <v>2142</v>
      </c>
      <c r="E29" t="s">
        <v>1278</v>
      </c>
    </row>
    <row r="30" spans="2:7">
      <c r="B30" s="143" t="s">
        <v>64</v>
      </c>
      <c r="C30" s="143" t="s">
        <v>2143</v>
      </c>
      <c r="D30" s="143" t="s">
        <v>2144</v>
      </c>
      <c r="E30" t="s">
        <v>1278</v>
      </c>
    </row>
    <row r="31" spans="2:7">
      <c r="B31" s="143" t="s">
        <v>334</v>
      </c>
      <c r="C31" s="143" t="s">
        <v>2145</v>
      </c>
      <c r="D31" s="143" t="s">
        <v>2146</v>
      </c>
      <c r="E31" t="s">
        <v>1278</v>
      </c>
    </row>
    <row r="32" spans="2:7">
      <c r="B32" s="143" t="s">
        <v>2147</v>
      </c>
      <c r="C32" s="143" t="s">
        <v>2148</v>
      </c>
      <c r="D32" s="143" t="s">
        <v>2149</v>
      </c>
      <c r="E32" t="s">
        <v>1278</v>
      </c>
    </row>
    <row r="33" spans="2:7">
      <c r="B33" s="143" t="s">
        <v>2150</v>
      </c>
      <c r="C33" s="143" t="s">
        <v>2151</v>
      </c>
      <c r="D33" s="143" t="s">
        <v>2152</v>
      </c>
      <c r="E33" t="s">
        <v>1278</v>
      </c>
    </row>
    <row r="34" spans="2:7" hidden="1">
      <c r="B34" s="148" t="s">
        <v>2153</v>
      </c>
      <c r="C34" s="148" t="s">
        <v>2154</v>
      </c>
      <c r="D34" s="148" t="s">
        <v>2155</v>
      </c>
      <c r="E34" t="s">
        <v>1273</v>
      </c>
      <c r="G34" s="132">
        <f>DATE(2026,10,8)</f>
        <v>46303</v>
      </c>
    </row>
    <row r="35" spans="2:7">
      <c r="B35" s="143" t="s">
        <v>384</v>
      </c>
      <c r="C35" s="143" t="s">
        <v>2156</v>
      </c>
      <c r="D35" s="143" t="s">
        <v>2157</v>
      </c>
      <c r="E35" t="s">
        <v>1278</v>
      </c>
    </row>
    <row r="36" spans="2:7" hidden="1">
      <c r="B36" s="145" t="s">
        <v>2158</v>
      </c>
      <c r="C36" s="145" t="s">
        <v>2159</v>
      </c>
      <c r="D36" s="145" t="s">
        <v>2160</v>
      </c>
      <c r="E36" t="s">
        <v>1273</v>
      </c>
      <c r="G36" s="132">
        <f t="shared" ref="G36:G37" si="1">DATE(2026,10,8)</f>
        <v>46303</v>
      </c>
    </row>
    <row r="37" spans="2:7" hidden="1">
      <c r="B37" s="145" t="s">
        <v>2161</v>
      </c>
      <c r="C37" s="145" t="s">
        <v>2162</v>
      </c>
      <c r="D37" s="145" t="s">
        <v>2163</v>
      </c>
      <c r="E37" t="s">
        <v>1273</v>
      </c>
      <c r="G37" s="132">
        <f t="shared" si="1"/>
        <v>46303</v>
      </c>
    </row>
    <row r="38" spans="2:7" hidden="1">
      <c r="B38" s="171" t="s">
        <v>2164</v>
      </c>
      <c r="C38" s="171" t="s">
        <v>2165</v>
      </c>
      <c r="D38" s="171" t="s">
        <v>2166</v>
      </c>
      <c r="E38" t="s">
        <v>1558</v>
      </c>
      <c r="F38" t="s">
        <v>2128</v>
      </c>
    </row>
    <row r="39" spans="2:7">
      <c r="B39" s="143" t="s">
        <v>2167</v>
      </c>
      <c r="C39" s="143" t="s">
        <v>2168</v>
      </c>
      <c r="D39" s="143" t="s">
        <v>2169</v>
      </c>
      <c r="E39" t="s">
        <v>1278</v>
      </c>
    </row>
    <row r="40" spans="2:7" hidden="1">
      <c r="B40" s="145" t="s">
        <v>2170</v>
      </c>
      <c r="C40" s="145" t="s">
        <v>2171</v>
      </c>
      <c r="D40" s="145" t="s">
        <v>2172</v>
      </c>
      <c r="E40" t="s">
        <v>1273</v>
      </c>
      <c r="G40" s="132">
        <f>DATE(2026,10,8)</f>
        <v>46303</v>
      </c>
    </row>
    <row r="41" spans="2:7">
      <c r="B41" s="143" t="s">
        <v>2173</v>
      </c>
      <c r="C41" s="143" t="s">
        <v>2174</v>
      </c>
      <c r="D41" s="143" t="s">
        <v>2175</v>
      </c>
      <c r="E41" t="s">
        <v>1278</v>
      </c>
    </row>
    <row r="42" spans="2:7">
      <c r="B42" s="143" t="s">
        <v>2176</v>
      </c>
      <c r="C42" s="143" t="s">
        <v>2177</v>
      </c>
      <c r="D42" s="143" t="s">
        <v>2178</v>
      </c>
      <c r="E42" t="s">
        <v>1278</v>
      </c>
    </row>
    <row r="43" spans="2:7" hidden="1">
      <c r="B43" s="172" t="s">
        <v>417</v>
      </c>
      <c r="C43" s="172" t="s">
        <v>2179</v>
      </c>
      <c r="D43" s="172" t="s">
        <v>2180</v>
      </c>
      <c r="E43" t="s">
        <v>1273</v>
      </c>
      <c r="G43" s="131">
        <f>DATE(2026,10,9)</f>
        <v>46304</v>
      </c>
    </row>
    <row r="44" spans="2:7" hidden="1">
      <c r="B44" s="171" t="s">
        <v>2181</v>
      </c>
      <c r="C44" s="171" t="s">
        <v>2182</v>
      </c>
      <c r="D44" s="171" t="s">
        <v>2183</v>
      </c>
      <c r="E44" t="s">
        <v>1558</v>
      </c>
      <c r="F44" t="s">
        <v>2184</v>
      </c>
    </row>
    <row r="45" spans="2:7">
      <c r="B45" s="143" t="s">
        <v>424</v>
      </c>
      <c r="C45" s="143" t="s">
        <v>2185</v>
      </c>
      <c r="D45" s="143" t="s">
        <v>2186</v>
      </c>
      <c r="E45" t="s">
        <v>1278</v>
      </c>
    </row>
    <row r="46" spans="2:7">
      <c r="B46" s="143" t="s">
        <v>2187</v>
      </c>
      <c r="C46" s="143" t="s">
        <v>2188</v>
      </c>
      <c r="D46" s="143" t="s">
        <v>2189</v>
      </c>
      <c r="E46" t="s">
        <v>1278</v>
      </c>
    </row>
    <row r="47" spans="2:7">
      <c r="B47" s="143" t="s">
        <v>2190</v>
      </c>
      <c r="C47" s="143" t="s">
        <v>2191</v>
      </c>
      <c r="D47" s="143" t="s">
        <v>2192</v>
      </c>
      <c r="E47" t="s">
        <v>1278</v>
      </c>
    </row>
    <row r="48" spans="2:7">
      <c r="B48" s="143" t="s">
        <v>122</v>
      </c>
      <c r="C48" s="143" t="s">
        <v>2193</v>
      </c>
      <c r="D48" s="143" t="s">
        <v>2194</v>
      </c>
      <c r="E48" t="s">
        <v>1278</v>
      </c>
    </row>
    <row r="49" spans="2:7" hidden="1">
      <c r="B49" s="145" t="s">
        <v>2195</v>
      </c>
      <c r="C49" s="145" t="s">
        <v>2196</v>
      </c>
      <c r="D49" s="145" t="s">
        <v>2197</v>
      </c>
      <c r="E49" t="s">
        <v>1273</v>
      </c>
      <c r="G49" s="132">
        <f t="shared" ref="G49:G50" si="2">DATE(2026,10,8)</f>
        <v>46303</v>
      </c>
    </row>
    <row r="50" spans="2:7" hidden="1">
      <c r="B50" s="145" t="s">
        <v>2198</v>
      </c>
      <c r="C50" s="145" t="s">
        <v>2199</v>
      </c>
      <c r="D50" s="145" t="s">
        <v>2200</v>
      </c>
      <c r="E50" t="s">
        <v>1273</v>
      </c>
      <c r="G50" s="132">
        <f t="shared" si="2"/>
        <v>46303</v>
      </c>
    </row>
    <row r="51" spans="2:7">
      <c r="B51" s="143" t="s">
        <v>2201</v>
      </c>
      <c r="C51" s="143" t="s">
        <v>2202</v>
      </c>
      <c r="D51" s="143" t="s">
        <v>2203</v>
      </c>
      <c r="E51" t="s">
        <v>1278</v>
      </c>
    </row>
    <row r="52" spans="2:7">
      <c r="B52" s="143" t="s">
        <v>2204</v>
      </c>
      <c r="C52" s="143" t="s">
        <v>2205</v>
      </c>
      <c r="D52" s="143" t="s">
        <v>2206</v>
      </c>
      <c r="E52" t="s">
        <v>1278</v>
      </c>
    </row>
    <row r="53" spans="2:7">
      <c r="B53" s="143" t="s">
        <v>2207</v>
      </c>
      <c r="C53" s="143" t="s">
        <v>2208</v>
      </c>
      <c r="D53" s="143" t="s">
        <v>2209</v>
      </c>
      <c r="E53" t="s">
        <v>1278</v>
      </c>
    </row>
    <row r="54" spans="2:7">
      <c r="B54" s="143" t="s">
        <v>2210</v>
      </c>
      <c r="C54" s="143" t="s">
        <v>2211</v>
      </c>
      <c r="D54" s="143" t="s">
        <v>2212</v>
      </c>
      <c r="E54" t="s">
        <v>1278</v>
      </c>
    </row>
    <row r="55" spans="2:7">
      <c r="B55" s="143" t="s">
        <v>2213</v>
      </c>
      <c r="C55" s="143" t="s">
        <v>2214</v>
      </c>
      <c r="D55" s="143" t="s">
        <v>2215</v>
      </c>
      <c r="E55" t="s">
        <v>1278</v>
      </c>
    </row>
    <row r="56" spans="2:7" hidden="1">
      <c r="B56" s="172" t="s">
        <v>2216</v>
      </c>
      <c r="C56" s="172" t="s">
        <v>2217</v>
      </c>
      <c r="D56" s="172" t="s">
        <v>2218</v>
      </c>
      <c r="E56" t="s">
        <v>1273</v>
      </c>
      <c r="G56" s="131">
        <f>DATE(2026,10,9)</f>
        <v>46304</v>
      </c>
    </row>
    <row r="57" spans="2:7" hidden="1">
      <c r="B57" s="145" t="s">
        <v>2219</v>
      </c>
      <c r="C57" s="145" t="s">
        <v>2220</v>
      </c>
      <c r="D57" s="145" t="s">
        <v>2221</v>
      </c>
      <c r="E57" t="s">
        <v>1273</v>
      </c>
      <c r="G57" s="132">
        <f t="shared" ref="G57:G60" si="3">DATE(2026,10,8)</f>
        <v>46303</v>
      </c>
    </row>
    <row r="58" spans="2:7" hidden="1">
      <c r="B58" s="145" t="s">
        <v>2222</v>
      </c>
      <c r="C58" s="145" t="s">
        <v>2223</v>
      </c>
      <c r="D58" s="145" t="s">
        <v>2224</v>
      </c>
      <c r="E58" t="s">
        <v>1273</v>
      </c>
      <c r="G58" s="132">
        <f t="shared" si="3"/>
        <v>46303</v>
      </c>
    </row>
    <row r="59" spans="2:7" hidden="1">
      <c r="B59" s="145" t="s">
        <v>2225</v>
      </c>
      <c r="C59" s="145" t="s">
        <v>2226</v>
      </c>
      <c r="D59" s="145" t="s">
        <v>2227</v>
      </c>
      <c r="E59" t="s">
        <v>1273</v>
      </c>
      <c r="G59" s="132">
        <f t="shared" si="3"/>
        <v>46303</v>
      </c>
    </row>
    <row r="60" spans="2:7" hidden="1">
      <c r="B60" s="145" t="s">
        <v>2228</v>
      </c>
      <c r="C60" s="145" t="s">
        <v>2229</v>
      </c>
      <c r="D60" s="145" t="s">
        <v>2230</v>
      </c>
      <c r="E60" t="s">
        <v>1273</v>
      </c>
      <c r="G60" s="132">
        <f t="shared" si="3"/>
        <v>46303</v>
      </c>
    </row>
    <row r="61" spans="2:7">
      <c r="B61" s="143" t="s">
        <v>2231</v>
      </c>
      <c r="C61" s="143" t="s">
        <v>2232</v>
      </c>
      <c r="D61" s="143" t="s">
        <v>2233</v>
      </c>
      <c r="E61" t="s">
        <v>1278</v>
      </c>
    </row>
    <row r="62" spans="2:7" hidden="1">
      <c r="B62" s="145" t="s">
        <v>2234</v>
      </c>
      <c r="C62" s="153" t="s">
        <v>2235</v>
      </c>
      <c r="D62" s="145" t="s">
        <v>2236</v>
      </c>
      <c r="E62" t="s">
        <v>1273</v>
      </c>
      <c r="G62" s="132">
        <f>DATE(2026,10,8)</f>
        <v>46303</v>
      </c>
    </row>
    <row r="63" spans="2:7">
      <c r="B63" s="143" t="s">
        <v>2237</v>
      </c>
      <c r="C63" s="143" t="s">
        <v>2238</v>
      </c>
      <c r="D63" s="143" t="s">
        <v>2239</v>
      </c>
      <c r="E63" t="s">
        <v>1278</v>
      </c>
    </row>
    <row r="64" spans="2:7">
      <c r="B64" s="143" t="s">
        <v>2240</v>
      </c>
      <c r="C64" s="143" t="s">
        <v>2241</v>
      </c>
      <c r="D64" s="143" t="s">
        <v>2242</v>
      </c>
      <c r="E64" t="s">
        <v>1278</v>
      </c>
    </row>
    <row r="65" spans="2:7" hidden="1">
      <c r="B65" s="145" t="s">
        <v>2243</v>
      </c>
      <c r="C65" s="145" t="s">
        <v>2244</v>
      </c>
      <c r="D65" s="145" t="s">
        <v>2245</v>
      </c>
      <c r="E65" t="s">
        <v>1273</v>
      </c>
      <c r="G65" s="132">
        <f>DATE(2026,10,8)</f>
        <v>46303</v>
      </c>
    </row>
    <row r="66" spans="2:7">
      <c r="B66" s="143" t="s">
        <v>2246</v>
      </c>
      <c r="C66" s="143" t="s">
        <v>2247</v>
      </c>
      <c r="D66" s="143" t="s">
        <v>2248</v>
      </c>
      <c r="E66" t="s">
        <v>1278</v>
      </c>
    </row>
    <row r="67" spans="2:7" hidden="1">
      <c r="B67" s="145" t="s">
        <v>2249</v>
      </c>
      <c r="C67" s="145" t="s">
        <v>2250</v>
      </c>
      <c r="D67" s="145" t="s">
        <v>2251</v>
      </c>
      <c r="E67" t="s">
        <v>1273</v>
      </c>
      <c r="G67" s="132">
        <f t="shared" ref="G67:G68" si="4">DATE(2026,10,8)</f>
        <v>46303</v>
      </c>
    </row>
    <row r="68" spans="2:7" hidden="1">
      <c r="B68" s="145" t="s">
        <v>2252</v>
      </c>
      <c r="C68" s="145" t="s">
        <v>2253</v>
      </c>
      <c r="D68" s="145" t="s">
        <v>2254</v>
      </c>
      <c r="E68" t="s">
        <v>1273</v>
      </c>
      <c r="G68" s="132">
        <f t="shared" si="4"/>
        <v>46303</v>
      </c>
    </row>
    <row r="69" spans="2:7">
      <c r="B69" s="143" t="s">
        <v>2255</v>
      </c>
      <c r="C69" s="143" t="s">
        <v>2256</v>
      </c>
      <c r="D69" s="143" t="s">
        <v>2257</v>
      </c>
      <c r="E69" t="s">
        <v>1278</v>
      </c>
    </row>
    <row r="70" spans="2:7" hidden="1">
      <c r="B70" s="145" t="s">
        <v>2258</v>
      </c>
      <c r="C70" s="145" t="s">
        <v>2259</v>
      </c>
      <c r="D70" s="145" t="s">
        <v>2260</v>
      </c>
      <c r="E70" t="s">
        <v>1273</v>
      </c>
      <c r="G70" s="132">
        <f>DATE(2026,10,8)</f>
        <v>46303</v>
      </c>
    </row>
    <row r="71" spans="2:7">
      <c r="B71" s="143" t="s">
        <v>2080</v>
      </c>
      <c r="C71" s="147" t="s">
        <v>2261</v>
      </c>
      <c r="D71" s="143" t="s">
        <v>2262</v>
      </c>
      <c r="E71" t="s">
        <v>1278</v>
      </c>
    </row>
    <row r="72" spans="2:7">
      <c r="B72" s="143" t="s">
        <v>2263</v>
      </c>
      <c r="C72" s="143" t="s">
        <v>2264</v>
      </c>
      <c r="D72" s="143" t="s">
        <v>2265</v>
      </c>
      <c r="E72" t="s">
        <v>1278</v>
      </c>
    </row>
    <row r="73" spans="2:7" hidden="1">
      <c r="B73" s="145" t="s">
        <v>2266</v>
      </c>
      <c r="C73" s="145" t="s">
        <v>2267</v>
      </c>
      <c r="D73" s="145" t="s">
        <v>2268</v>
      </c>
      <c r="E73" t="s">
        <v>1273</v>
      </c>
      <c r="G73" s="132">
        <f>DATE(2026,10,8)</f>
        <v>46303</v>
      </c>
    </row>
    <row r="74" spans="2:7">
      <c r="B74" s="143" t="s">
        <v>2269</v>
      </c>
      <c r="C74" s="143" t="s">
        <v>2270</v>
      </c>
      <c r="D74" s="143" t="s">
        <v>2271</v>
      </c>
      <c r="E74" t="s">
        <v>1278</v>
      </c>
    </row>
    <row r="75" spans="2:7">
      <c r="B75" s="143" t="s">
        <v>2272</v>
      </c>
      <c r="C75" s="143" t="s">
        <v>2273</v>
      </c>
      <c r="D75" s="143" t="s">
        <v>2274</v>
      </c>
      <c r="E75" s="82" t="s">
        <v>1278</v>
      </c>
    </row>
    <row r="76" spans="2:7">
      <c r="B76" s="143" t="s">
        <v>2275</v>
      </c>
      <c r="C76" s="143" t="s">
        <v>2276</v>
      </c>
      <c r="D76" s="143" t="s">
        <v>2277</v>
      </c>
      <c r="E76" t="s">
        <v>1278</v>
      </c>
    </row>
    <row r="77" spans="2:7" hidden="1">
      <c r="B77" s="145" t="s">
        <v>2278</v>
      </c>
      <c r="C77" s="145" t="s">
        <v>2279</v>
      </c>
      <c r="D77" s="145" t="s">
        <v>2280</v>
      </c>
      <c r="E77" t="s">
        <v>1273</v>
      </c>
      <c r="G77" s="132">
        <f>DATE(2026,10,8)</f>
        <v>46303</v>
      </c>
    </row>
    <row r="78" spans="2:7">
      <c r="B78" s="143" t="s">
        <v>2281</v>
      </c>
      <c r="C78" s="143" t="s">
        <v>2282</v>
      </c>
      <c r="D78" s="143" t="s">
        <v>2283</v>
      </c>
      <c r="E78" t="s">
        <v>1278</v>
      </c>
    </row>
    <row r="79" spans="2:7" hidden="1">
      <c r="B79" s="172" t="s">
        <v>2284</v>
      </c>
      <c r="C79" s="172" t="s">
        <v>2285</v>
      </c>
      <c r="D79" s="172" t="s">
        <v>2286</v>
      </c>
      <c r="E79" t="s">
        <v>1273</v>
      </c>
      <c r="G79" s="131">
        <f>DATE(2026,10,9)</f>
        <v>46304</v>
      </c>
    </row>
    <row r="80" spans="2:7" hidden="1">
      <c r="B80" s="145" t="s">
        <v>2287</v>
      </c>
      <c r="C80" s="145" t="s">
        <v>2288</v>
      </c>
      <c r="D80" s="145" t="s">
        <v>2289</v>
      </c>
      <c r="E80" t="s">
        <v>1273</v>
      </c>
      <c r="G80" s="132">
        <f t="shared" ref="G80:G81" si="5">DATE(2026,10,8)</f>
        <v>46303</v>
      </c>
    </row>
    <row r="81" spans="2:7" hidden="1">
      <c r="B81" s="145" t="s">
        <v>2290</v>
      </c>
      <c r="C81" s="145" t="s">
        <v>2291</v>
      </c>
      <c r="D81" s="145" t="s">
        <v>2292</v>
      </c>
      <c r="E81" t="s">
        <v>1273</v>
      </c>
      <c r="G81" s="132">
        <f t="shared" si="5"/>
        <v>46303</v>
      </c>
    </row>
    <row r="82" spans="2:7">
      <c r="B82" s="143" t="s">
        <v>2293</v>
      </c>
      <c r="C82" s="147" t="s">
        <v>2294</v>
      </c>
      <c r="D82" s="143" t="s">
        <v>2295</v>
      </c>
      <c r="E82" t="s">
        <v>1278</v>
      </c>
    </row>
    <row r="83" spans="2:7" hidden="1">
      <c r="B83" s="145" t="s">
        <v>2296</v>
      </c>
      <c r="C83" s="145" t="s">
        <v>2297</v>
      </c>
      <c r="D83" s="145" t="s">
        <v>2298</v>
      </c>
      <c r="E83" t="s">
        <v>1273</v>
      </c>
      <c r="G83" s="132">
        <f>DATE(2026,10,8)</f>
        <v>46303</v>
      </c>
    </row>
    <row r="84" spans="2:7">
      <c r="B84" s="143" t="s">
        <v>2299</v>
      </c>
      <c r="C84" s="143" t="s">
        <v>2300</v>
      </c>
      <c r="D84" s="143" t="s">
        <v>2301</v>
      </c>
      <c r="E84" t="s">
        <v>1278</v>
      </c>
    </row>
    <row r="85" spans="2:7">
      <c r="B85" s="143" t="s">
        <v>2302</v>
      </c>
      <c r="C85" s="143" t="s">
        <v>2303</v>
      </c>
      <c r="D85" s="143" t="s">
        <v>2304</v>
      </c>
      <c r="E85" t="s">
        <v>1278</v>
      </c>
    </row>
    <row r="86" spans="2:7">
      <c r="B86" s="143" t="s">
        <v>2305</v>
      </c>
      <c r="C86" s="143" t="s">
        <v>2306</v>
      </c>
      <c r="D86" s="143" t="s">
        <v>2307</v>
      </c>
      <c r="E86" t="s">
        <v>1278</v>
      </c>
    </row>
    <row r="87" spans="2:7" hidden="1">
      <c r="B87" s="145" t="s">
        <v>2308</v>
      </c>
      <c r="C87" s="145" t="s">
        <v>2309</v>
      </c>
      <c r="D87" s="145" t="s">
        <v>2310</v>
      </c>
      <c r="E87" t="s">
        <v>1273</v>
      </c>
      <c r="G87" s="132">
        <f>DATE(2026,10,8)</f>
        <v>46303</v>
      </c>
    </row>
    <row r="88" spans="2:7">
      <c r="B88" s="143" t="s">
        <v>2311</v>
      </c>
      <c r="C88" s="143" t="s">
        <v>2312</v>
      </c>
      <c r="D88" s="143" t="s">
        <v>2313</v>
      </c>
      <c r="E88" t="s">
        <v>1278</v>
      </c>
    </row>
    <row r="89" spans="2:7" hidden="1">
      <c r="B89" s="146" t="s">
        <v>2314</v>
      </c>
      <c r="C89" s="146" t="s">
        <v>2315</v>
      </c>
      <c r="D89" s="146" t="s">
        <v>2316</v>
      </c>
      <c r="E89" t="s">
        <v>1558</v>
      </c>
    </row>
    <row r="90" spans="2:7" hidden="1">
      <c r="B90" s="145" t="s">
        <v>2317</v>
      </c>
      <c r="C90" s="145" t="s">
        <v>2318</v>
      </c>
      <c r="D90" s="145" t="s">
        <v>2319</v>
      </c>
      <c r="E90" t="s">
        <v>1273</v>
      </c>
      <c r="G90" s="132">
        <f>DATE(2026,10,8)</f>
        <v>46303</v>
      </c>
    </row>
    <row r="91" spans="2:7">
      <c r="B91" s="143" t="s">
        <v>2320</v>
      </c>
      <c r="C91" s="143" t="s">
        <v>2321</v>
      </c>
      <c r="D91" s="143" t="s">
        <v>2322</v>
      </c>
      <c r="E91" t="s">
        <v>1278</v>
      </c>
    </row>
    <row r="92" spans="2:7" hidden="1">
      <c r="B92" s="145" t="s">
        <v>2137</v>
      </c>
      <c r="C92" s="145" t="s">
        <v>2323</v>
      </c>
      <c r="D92" s="145" t="s">
        <v>2324</v>
      </c>
      <c r="E92" t="s">
        <v>1273</v>
      </c>
      <c r="G92" s="132">
        <f>DATE(2026,10,8)</f>
        <v>46303</v>
      </c>
    </row>
    <row r="93" spans="2:7">
      <c r="B93" s="143" t="s">
        <v>2325</v>
      </c>
      <c r="C93" s="143" t="s">
        <v>2326</v>
      </c>
      <c r="D93" s="143" t="s">
        <v>2327</v>
      </c>
      <c r="E93" t="s">
        <v>1278</v>
      </c>
    </row>
    <row r="94" spans="2:7" hidden="1">
      <c r="B94" s="145" t="s">
        <v>2328</v>
      </c>
      <c r="C94" s="145" t="s">
        <v>2329</v>
      </c>
      <c r="D94" s="145" t="s">
        <v>2330</v>
      </c>
      <c r="E94" t="s">
        <v>1273</v>
      </c>
      <c r="G94" s="132">
        <f>DATE(2026,10,8)</f>
        <v>46303</v>
      </c>
    </row>
    <row r="95" spans="2:7">
      <c r="B95" s="143" t="s">
        <v>2331</v>
      </c>
      <c r="C95" s="143" t="s">
        <v>2332</v>
      </c>
      <c r="D95" s="143" t="s">
        <v>2333</v>
      </c>
      <c r="E95" t="s">
        <v>1278</v>
      </c>
    </row>
    <row r="96" spans="2:7">
      <c r="B96" s="143" t="s">
        <v>2334</v>
      </c>
      <c r="C96" s="143" t="s">
        <v>2335</v>
      </c>
      <c r="D96" s="143" t="s">
        <v>2336</v>
      </c>
      <c r="E96" t="s">
        <v>1278</v>
      </c>
    </row>
    <row r="97" spans="2:7" hidden="1">
      <c r="B97" s="145" t="s">
        <v>2337</v>
      </c>
      <c r="C97" s="145" t="s">
        <v>2338</v>
      </c>
      <c r="D97" s="145" t="s">
        <v>2339</v>
      </c>
      <c r="E97" t="s">
        <v>1273</v>
      </c>
      <c r="G97" s="132">
        <f>DATE(2026,10,8)</f>
        <v>46303</v>
      </c>
    </row>
    <row r="98" spans="2:7">
      <c r="B98" s="143" t="s">
        <v>149</v>
      </c>
      <c r="C98" s="143" t="s">
        <v>2340</v>
      </c>
      <c r="D98" s="143" t="s">
        <v>2341</v>
      </c>
      <c r="E98" t="s">
        <v>1278</v>
      </c>
    </row>
    <row r="99" spans="2:7">
      <c r="B99" s="143" t="s">
        <v>2342</v>
      </c>
      <c r="C99" s="143" t="s">
        <v>2343</v>
      </c>
      <c r="D99" s="143" t="s">
        <v>2344</v>
      </c>
      <c r="E99" t="s">
        <v>1278</v>
      </c>
    </row>
    <row r="100" spans="2:7" hidden="1">
      <c r="B100" s="145" t="s">
        <v>2345</v>
      </c>
      <c r="C100" s="145" t="s">
        <v>2346</v>
      </c>
      <c r="D100" s="145" t="s">
        <v>2347</v>
      </c>
      <c r="E100" t="s">
        <v>1273</v>
      </c>
      <c r="G100" s="132">
        <f>DATE(2026,10,8)</f>
        <v>46303</v>
      </c>
    </row>
    <row r="101" spans="2:7">
      <c r="B101" s="143" t="s">
        <v>2348</v>
      </c>
      <c r="C101" s="143" t="s">
        <v>2349</v>
      </c>
      <c r="D101" s="143" t="s">
        <v>2350</v>
      </c>
      <c r="E101" t="s">
        <v>1278</v>
      </c>
    </row>
    <row r="102" spans="2:7">
      <c r="B102" s="143" t="s">
        <v>2351</v>
      </c>
      <c r="C102" s="143" t="s">
        <v>2352</v>
      </c>
      <c r="D102" s="143" t="s">
        <v>2353</v>
      </c>
      <c r="E102" t="s">
        <v>1278</v>
      </c>
    </row>
    <row r="103" spans="2:7" hidden="1">
      <c r="B103" s="145" t="s">
        <v>2354</v>
      </c>
      <c r="C103" s="145" t="s">
        <v>2355</v>
      </c>
      <c r="D103" s="145" t="s">
        <v>2356</v>
      </c>
      <c r="E103" t="s">
        <v>1273</v>
      </c>
      <c r="G103" s="132">
        <f t="shared" ref="G103:G104" si="6">DATE(2026,10,8)</f>
        <v>46303</v>
      </c>
    </row>
    <row r="104" spans="2:7" hidden="1">
      <c r="B104" s="145" t="s">
        <v>2357</v>
      </c>
      <c r="C104" s="145" t="s">
        <v>2358</v>
      </c>
      <c r="D104" s="145" t="s">
        <v>2359</v>
      </c>
      <c r="E104" t="s">
        <v>1273</v>
      </c>
      <c r="G104" s="132">
        <f t="shared" si="6"/>
        <v>46303</v>
      </c>
    </row>
    <row r="105" spans="2:7">
      <c r="B105" s="154" t="s">
        <v>2360</v>
      </c>
      <c r="C105" s="154" t="s">
        <v>2361</v>
      </c>
      <c r="D105" s="154" t="s">
        <v>2362</v>
      </c>
      <c r="E105" t="s">
        <v>1278</v>
      </c>
    </row>
    <row r="106" spans="2:7" hidden="1">
      <c r="B106" s="145" t="s">
        <v>2363</v>
      </c>
      <c r="C106" s="145" t="s">
        <v>2364</v>
      </c>
      <c r="D106" s="145" t="s">
        <v>2365</v>
      </c>
      <c r="E106" t="s">
        <v>1273</v>
      </c>
      <c r="G106" s="132">
        <f>DATE(2026,10,8)</f>
        <v>46303</v>
      </c>
    </row>
    <row r="107" spans="2:7">
      <c r="B107" s="143" t="s">
        <v>2366</v>
      </c>
      <c r="C107" s="143" t="s">
        <v>2367</v>
      </c>
      <c r="D107" s="143" t="s">
        <v>2368</v>
      </c>
      <c r="E107" t="s">
        <v>1278</v>
      </c>
    </row>
    <row r="108" spans="2:7" hidden="1">
      <c r="B108" s="145" t="s">
        <v>2369</v>
      </c>
      <c r="C108" s="145" t="s">
        <v>2370</v>
      </c>
      <c r="D108" s="145" t="s">
        <v>2371</v>
      </c>
      <c r="E108" t="s">
        <v>1273</v>
      </c>
      <c r="G108" s="132">
        <f>DATE(2026,10,8)</f>
        <v>46303</v>
      </c>
    </row>
    <row r="109" spans="2:7">
      <c r="B109" s="143" t="s">
        <v>2372</v>
      </c>
      <c r="C109" s="143" t="s">
        <v>2373</v>
      </c>
      <c r="D109" s="143" t="s">
        <v>2374</v>
      </c>
      <c r="E109" t="s">
        <v>1278</v>
      </c>
    </row>
    <row r="110" spans="2:7" hidden="1">
      <c r="B110" s="170" t="s">
        <v>2375</v>
      </c>
      <c r="C110" s="146" t="s">
        <v>2376</v>
      </c>
      <c r="D110" s="146" t="s">
        <v>2377</v>
      </c>
      <c r="E110" t="s">
        <v>1558</v>
      </c>
    </row>
    <row r="111" spans="2:7" hidden="1">
      <c r="B111" s="148" t="s">
        <v>2378</v>
      </c>
      <c r="C111" s="148" t="s">
        <v>2379</v>
      </c>
      <c r="D111" s="148" t="s">
        <v>2380</v>
      </c>
      <c r="E111" t="s">
        <v>1273</v>
      </c>
      <c r="G111" s="132">
        <f t="shared" ref="G111:G112" si="7">DATE(2026,10,8)</f>
        <v>46303</v>
      </c>
    </row>
    <row r="112" spans="2:7" hidden="1">
      <c r="B112" s="145" t="s">
        <v>2381</v>
      </c>
      <c r="C112" s="145" t="s">
        <v>2382</v>
      </c>
      <c r="D112" s="145" t="s">
        <v>2383</v>
      </c>
      <c r="E112" t="s">
        <v>1273</v>
      </c>
      <c r="G112" s="132">
        <f t="shared" si="7"/>
        <v>46303</v>
      </c>
    </row>
    <row r="113" spans="2:7">
      <c r="B113" s="143" t="s">
        <v>2384</v>
      </c>
      <c r="C113" s="143" t="s">
        <v>2385</v>
      </c>
      <c r="D113" s="143" t="s">
        <v>2386</v>
      </c>
      <c r="E113" t="s">
        <v>1278</v>
      </c>
    </row>
    <row r="114" spans="2:7">
      <c r="B114" s="143" t="s">
        <v>2387</v>
      </c>
      <c r="C114" s="143" t="s">
        <v>2388</v>
      </c>
      <c r="D114" s="143" t="s">
        <v>2389</v>
      </c>
      <c r="E114" t="s">
        <v>1278</v>
      </c>
    </row>
    <row r="115" spans="2:7">
      <c r="B115" s="143" t="s">
        <v>2390</v>
      </c>
      <c r="C115" s="143" t="s">
        <v>2391</v>
      </c>
      <c r="D115" s="143" t="s">
        <v>2392</v>
      </c>
      <c r="E115" t="s">
        <v>1278</v>
      </c>
    </row>
    <row r="116" spans="2:7">
      <c r="B116" s="143" t="s">
        <v>2393</v>
      </c>
      <c r="C116" s="147" t="s">
        <v>2394</v>
      </c>
      <c r="D116" s="143" t="s">
        <v>2395</v>
      </c>
      <c r="E116" t="s">
        <v>1278</v>
      </c>
    </row>
    <row r="117" spans="2:7">
      <c r="B117" s="143" t="s">
        <v>2396</v>
      </c>
      <c r="C117" s="143" t="s">
        <v>2397</v>
      </c>
      <c r="D117" s="143" t="s">
        <v>2398</v>
      </c>
      <c r="E117" t="s">
        <v>1278</v>
      </c>
    </row>
    <row r="118" spans="2:7" hidden="1">
      <c r="B118" s="145" t="s">
        <v>2399</v>
      </c>
      <c r="C118" s="145" t="s">
        <v>2400</v>
      </c>
      <c r="D118" s="145" t="s">
        <v>2401</v>
      </c>
      <c r="E118" t="s">
        <v>1273</v>
      </c>
      <c r="G118" s="132">
        <f>DATE(2026,10,8)</f>
        <v>46303</v>
      </c>
    </row>
    <row r="119" spans="2:7">
      <c r="B119" s="143" t="s">
        <v>2402</v>
      </c>
      <c r="C119" s="143" t="s">
        <v>2403</v>
      </c>
      <c r="D119" s="143" t="s">
        <v>2404</v>
      </c>
      <c r="E119" t="s">
        <v>1278</v>
      </c>
    </row>
    <row r="120" spans="2:7" hidden="1">
      <c r="B120" s="145" t="s">
        <v>2405</v>
      </c>
      <c r="C120" s="145" t="s">
        <v>2406</v>
      </c>
      <c r="D120" s="145" t="s">
        <v>2407</v>
      </c>
      <c r="E120" t="s">
        <v>1273</v>
      </c>
      <c r="G120" s="132">
        <f t="shared" ref="G120:G121" si="8">DATE(2026,10,8)</f>
        <v>46303</v>
      </c>
    </row>
    <row r="121" spans="2:7" hidden="1">
      <c r="B121" s="145" t="s">
        <v>2408</v>
      </c>
      <c r="C121" s="145" t="s">
        <v>2409</v>
      </c>
      <c r="D121" s="145" t="s">
        <v>2410</v>
      </c>
      <c r="E121" t="s">
        <v>1273</v>
      </c>
      <c r="G121" s="132">
        <f t="shared" si="8"/>
        <v>46303</v>
      </c>
    </row>
    <row r="122" spans="2:7">
      <c r="B122" s="143" t="s">
        <v>326</v>
      </c>
      <c r="C122" s="143" t="s">
        <v>2411</v>
      </c>
      <c r="D122" s="143" t="s">
        <v>2412</v>
      </c>
      <c r="E122" t="s">
        <v>1278</v>
      </c>
    </row>
    <row r="123" spans="2:7">
      <c r="B123" s="143" t="s">
        <v>2413</v>
      </c>
      <c r="C123" s="143" t="s">
        <v>2414</v>
      </c>
      <c r="D123" s="143" t="s">
        <v>2415</v>
      </c>
      <c r="E123" t="s">
        <v>1278</v>
      </c>
    </row>
    <row r="124" spans="2:7" hidden="1">
      <c r="B124" s="145" t="s">
        <v>2369</v>
      </c>
      <c r="C124" s="145" t="s">
        <v>2416</v>
      </c>
      <c r="D124" s="145" t="s">
        <v>2417</v>
      </c>
      <c r="E124" t="s">
        <v>1273</v>
      </c>
      <c r="G124" s="132">
        <f>DATE(2026,10,8)</f>
        <v>46303</v>
      </c>
    </row>
    <row r="125" spans="2:7">
      <c r="B125" s="143" t="s">
        <v>2418</v>
      </c>
      <c r="C125" s="143" t="s">
        <v>2419</v>
      </c>
      <c r="D125" s="143" t="s">
        <v>2420</v>
      </c>
      <c r="E125" t="s">
        <v>1278</v>
      </c>
    </row>
    <row r="126" spans="2:7">
      <c r="B126" s="143" t="s">
        <v>2421</v>
      </c>
      <c r="C126" s="143" t="s">
        <v>2422</v>
      </c>
      <c r="D126" s="143" t="s">
        <v>2423</v>
      </c>
      <c r="E126" t="s">
        <v>1278</v>
      </c>
    </row>
    <row r="127" spans="2:7">
      <c r="B127" s="154" t="s">
        <v>2424</v>
      </c>
      <c r="C127" s="154" t="s">
        <v>2425</v>
      </c>
      <c r="D127" s="154" t="s">
        <v>2426</v>
      </c>
      <c r="E127" t="s">
        <v>1278</v>
      </c>
    </row>
    <row r="128" spans="2:7" hidden="1">
      <c r="B128" s="171" t="s">
        <v>2427</v>
      </c>
      <c r="C128" s="171" t="s">
        <v>2428</v>
      </c>
      <c r="D128" s="171" t="s">
        <v>2429</v>
      </c>
      <c r="E128" t="s">
        <v>1558</v>
      </c>
      <c r="F128" t="s">
        <v>2128</v>
      </c>
    </row>
    <row r="129" spans="2:7" hidden="1">
      <c r="B129" s="145" t="s">
        <v>2430</v>
      </c>
      <c r="C129" s="145" t="s">
        <v>2431</v>
      </c>
      <c r="D129" s="145" t="s">
        <v>2432</v>
      </c>
      <c r="E129" t="s">
        <v>1273</v>
      </c>
      <c r="G129" s="132">
        <f>DATE(2026,10,8)</f>
        <v>46303</v>
      </c>
    </row>
    <row r="130" spans="2:7">
      <c r="B130" s="143" t="s">
        <v>1471</v>
      </c>
      <c r="C130" s="143" t="s">
        <v>2433</v>
      </c>
      <c r="D130" s="143" t="s">
        <v>2434</v>
      </c>
      <c r="E130" t="s">
        <v>1278</v>
      </c>
    </row>
    <row r="131" spans="2:7">
      <c r="B131" s="143" t="s">
        <v>2435</v>
      </c>
      <c r="C131" s="143" t="s">
        <v>2436</v>
      </c>
      <c r="D131" s="143" t="s">
        <v>2437</v>
      </c>
      <c r="E131" t="s">
        <v>1278</v>
      </c>
    </row>
    <row r="132" spans="2:7">
      <c r="B132" s="143" t="s">
        <v>2438</v>
      </c>
      <c r="C132" s="143" t="s">
        <v>2439</v>
      </c>
      <c r="D132" s="143" t="s">
        <v>2440</v>
      </c>
      <c r="E132" t="s">
        <v>1278</v>
      </c>
    </row>
    <row r="133" spans="2:7">
      <c r="B133" s="143" t="s">
        <v>2441</v>
      </c>
      <c r="C133" s="143" t="s">
        <v>2442</v>
      </c>
      <c r="D133" s="143" t="s">
        <v>2443</v>
      </c>
      <c r="E133" t="s">
        <v>1278</v>
      </c>
    </row>
    <row r="134" spans="2:7">
      <c r="B134" s="143" t="s">
        <v>2444</v>
      </c>
      <c r="C134" s="143" t="s">
        <v>2445</v>
      </c>
      <c r="D134" s="143" t="s">
        <v>2446</v>
      </c>
      <c r="E134" t="s">
        <v>1278</v>
      </c>
    </row>
    <row r="135" spans="2:7" hidden="1">
      <c r="B135" s="145" t="s">
        <v>2447</v>
      </c>
      <c r="C135" s="145" t="s">
        <v>2448</v>
      </c>
      <c r="D135" s="145" t="s">
        <v>2449</v>
      </c>
      <c r="E135" t="s">
        <v>1273</v>
      </c>
      <c r="G135" s="132">
        <f t="shared" ref="G135:G137" si="9">DATE(2026,10,8)</f>
        <v>46303</v>
      </c>
    </row>
    <row r="136" spans="2:7" hidden="1">
      <c r="B136" s="145" t="s">
        <v>2369</v>
      </c>
      <c r="C136" s="145" t="s">
        <v>2450</v>
      </c>
      <c r="D136" s="145" t="s">
        <v>2451</v>
      </c>
      <c r="E136" t="s">
        <v>1273</v>
      </c>
      <c r="G136" s="132">
        <f t="shared" si="9"/>
        <v>46303</v>
      </c>
    </row>
    <row r="137" spans="2:7" hidden="1">
      <c r="B137" s="145" t="s">
        <v>2452</v>
      </c>
      <c r="C137" s="145" t="s">
        <v>2453</v>
      </c>
      <c r="D137" s="145" t="s">
        <v>2454</v>
      </c>
      <c r="E137" t="s">
        <v>1273</v>
      </c>
      <c r="G137" s="132">
        <f t="shared" si="9"/>
        <v>46303</v>
      </c>
    </row>
    <row r="138" spans="2:7">
      <c r="B138" s="143" t="s">
        <v>2455</v>
      </c>
      <c r="C138" s="143" t="s">
        <v>2456</v>
      </c>
      <c r="D138" s="143" t="s">
        <v>2457</v>
      </c>
      <c r="E138" t="s">
        <v>1278</v>
      </c>
    </row>
    <row r="139" spans="2:7" hidden="1">
      <c r="B139" s="145" t="s">
        <v>2458</v>
      </c>
      <c r="C139" s="145" t="s">
        <v>2459</v>
      </c>
      <c r="D139" s="145" t="s">
        <v>2460</v>
      </c>
      <c r="E139" t="s">
        <v>1273</v>
      </c>
      <c r="G139" s="132">
        <f>DATE(2026,10,8)</f>
        <v>46303</v>
      </c>
    </row>
    <row r="140" spans="2:7">
      <c r="B140" s="143" t="s">
        <v>2461</v>
      </c>
      <c r="C140" s="143" t="s">
        <v>2462</v>
      </c>
      <c r="D140" s="143" t="s">
        <v>2463</v>
      </c>
      <c r="E140" t="s">
        <v>1278</v>
      </c>
    </row>
    <row r="141" spans="2:7">
      <c r="B141" s="143" t="s">
        <v>176</v>
      </c>
      <c r="C141" s="143" t="s">
        <v>2464</v>
      </c>
      <c r="D141" s="143" t="s">
        <v>2465</v>
      </c>
      <c r="E141" t="s">
        <v>1278</v>
      </c>
    </row>
    <row r="142" spans="2:7" hidden="1">
      <c r="B142" s="145" t="s">
        <v>2466</v>
      </c>
      <c r="C142" s="145" t="s">
        <v>2467</v>
      </c>
      <c r="D142" s="145" t="s">
        <v>2468</v>
      </c>
      <c r="E142" t="s">
        <v>1273</v>
      </c>
      <c r="G142" s="132">
        <f>DATE(2026,10,8)</f>
        <v>46303</v>
      </c>
    </row>
    <row r="143" spans="2:7">
      <c r="B143" s="143" t="s">
        <v>2469</v>
      </c>
      <c r="C143" s="143" t="s">
        <v>2470</v>
      </c>
      <c r="D143" s="143" t="s">
        <v>2471</v>
      </c>
      <c r="E143" t="s">
        <v>1278</v>
      </c>
    </row>
    <row r="144" spans="2:7" hidden="1">
      <c r="B144" s="145" t="s">
        <v>2472</v>
      </c>
      <c r="C144" s="145" t="s">
        <v>2473</v>
      </c>
      <c r="D144" s="145" t="s">
        <v>2474</v>
      </c>
      <c r="E144" t="s">
        <v>1273</v>
      </c>
      <c r="G144" s="132">
        <f t="shared" ref="G144:G145" si="10">DATE(2026,10,8)</f>
        <v>46303</v>
      </c>
    </row>
    <row r="145" spans="2:7" hidden="1">
      <c r="B145" s="145" t="s">
        <v>2475</v>
      </c>
      <c r="C145" s="145" t="s">
        <v>2476</v>
      </c>
      <c r="D145" s="145" t="s">
        <v>2477</v>
      </c>
      <c r="E145" t="s">
        <v>1273</v>
      </c>
      <c r="G145" s="132">
        <f t="shared" si="10"/>
        <v>46303</v>
      </c>
    </row>
    <row r="146" spans="2:7">
      <c r="B146" s="155" t="s">
        <v>2478</v>
      </c>
      <c r="C146" s="143" t="s">
        <v>2479</v>
      </c>
      <c r="D146" s="143" t="s">
        <v>2480</v>
      </c>
      <c r="E146" t="s">
        <v>1278</v>
      </c>
    </row>
    <row r="147" spans="2:7" hidden="1">
      <c r="B147" s="145" t="s">
        <v>2481</v>
      </c>
      <c r="C147" s="145" t="s">
        <v>2482</v>
      </c>
      <c r="D147" s="145" t="s">
        <v>2483</v>
      </c>
      <c r="E147" t="s">
        <v>1273</v>
      </c>
      <c r="G147" s="132">
        <f>DATE(2026,10,8)</f>
        <v>46303</v>
      </c>
    </row>
    <row r="148" spans="2:7">
      <c r="B148" s="143" t="s">
        <v>2484</v>
      </c>
      <c r="C148" s="143" t="s">
        <v>2485</v>
      </c>
      <c r="D148" s="143" t="s">
        <v>2486</v>
      </c>
      <c r="E148" t="s">
        <v>1278</v>
      </c>
    </row>
    <row r="149" spans="2:7">
      <c r="B149" s="143" t="s">
        <v>2487</v>
      </c>
      <c r="C149" s="143" t="s">
        <v>2488</v>
      </c>
      <c r="D149" s="143" t="s">
        <v>2489</v>
      </c>
      <c r="E149" t="s">
        <v>1278</v>
      </c>
    </row>
    <row r="150" spans="2:7" hidden="1">
      <c r="B150" s="145" t="s">
        <v>2490</v>
      </c>
      <c r="C150" s="145" t="s">
        <v>2491</v>
      </c>
      <c r="D150" s="145" t="s">
        <v>2492</v>
      </c>
      <c r="E150" t="s">
        <v>1273</v>
      </c>
      <c r="G150" s="132">
        <f>DATE(2026,10,8)</f>
        <v>46303</v>
      </c>
    </row>
    <row r="151" spans="2:7">
      <c r="B151" s="143" t="s">
        <v>2493</v>
      </c>
      <c r="C151" s="143" t="s">
        <v>2494</v>
      </c>
      <c r="D151" s="143" t="s">
        <v>2495</v>
      </c>
      <c r="E151" t="s">
        <v>1278</v>
      </c>
    </row>
    <row r="152" spans="2:7">
      <c r="B152" s="143" t="s">
        <v>74</v>
      </c>
      <c r="C152" s="143" t="s">
        <v>2496</v>
      </c>
      <c r="D152" s="143" t="s">
        <v>2497</v>
      </c>
      <c r="E152" t="s">
        <v>1278</v>
      </c>
    </row>
    <row r="153" spans="2:7" hidden="1">
      <c r="B153" s="145" t="s">
        <v>2498</v>
      </c>
      <c r="C153" s="145" t="s">
        <v>2499</v>
      </c>
      <c r="D153" s="145" t="s">
        <v>2500</v>
      </c>
      <c r="E153" t="s">
        <v>1273</v>
      </c>
      <c r="G153" s="132">
        <f t="shared" ref="G153:G154" si="11">DATE(2026,10,8)</f>
        <v>46303</v>
      </c>
    </row>
    <row r="154" spans="2:7" hidden="1">
      <c r="B154" s="145" t="s">
        <v>2501</v>
      </c>
      <c r="C154" s="145" t="s">
        <v>2502</v>
      </c>
      <c r="D154" s="108" t="s">
        <v>2503</v>
      </c>
      <c r="E154" t="s">
        <v>1273</v>
      </c>
      <c r="G154" s="132">
        <f t="shared" si="11"/>
        <v>46303</v>
      </c>
    </row>
    <row r="155" spans="2:7">
      <c r="B155" s="143" t="s">
        <v>2504</v>
      </c>
      <c r="C155" s="143" t="s">
        <v>2505</v>
      </c>
      <c r="D155" s="143" t="s">
        <v>2506</v>
      </c>
      <c r="E155" t="s">
        <v>1278</v>
      </c>
    </row>
    <row r="156" spans="2:7">
      <c r="B156" s="143" t="s">
        <v>2507</v>
      </c>
      <c r="C156" s="143" t="s">
        <v>2508</v>
      </c>
      <c r="D156" s="143" t="s">
        <v>2509</v>
      </c>
      <c r="E156" t="s">
        <v>1278</v>
      </c>
    </row>
    <row r="157" spans="2:7" hidden="1">
      <c r="B157" s="145" t="s">
        <v>2510</v>
      </c>
      <c r="C157" s="145" t="s">
        <v>2511</v>
      </c>
      <c r="D157" s="145" t="s">
        <v>2512</v>
      </c>
      <c r="E157" t="s">
        <v>1273</v>
      </c>
      <c r="G157" s="132">
        <f>DATE(2026,10,8)</f>
        <v>46303</v>
      </c>
    </row>
    <row r="158" spans="2:7">
      <c r="B158" s="143" t="s">
        <v>2513</v>
      </c>
      <c r="C158" s="143" t="s">
        <v>2514</v>
      </c>
      <c r="D158" s="143" t="s">
        <v>2515</v>
      </c>
      <c r="E158" t="s">
        <v>1278</v>
      </c>
    </row>
    <row r="159" spans="2:7" hidden="1">
      <c r="B159" s="145" t="s">
        <v>2516</v>
      </c>
      <c r="C159" s="145" t="s">
        <v>2517</v>
      </c>
      <c r="D159" s="145" t="s">
        <v>2518</v>
      </c>
      <c r="E159" t="s">
        <v>1273</v>
      </c>
      <c r="G159" s="132">
        <f t="shared" ref="G159:G161" si="12">DATE(2026,10,8)</f>
        <v>46303</v>
      </c>
    </row>
    <row r="160" spans="2:7" hidden="1">
      <c r="B160" s="145" t="s">
        <v>2519</v>
      </c>
      <c r="C160" s="145" t="s">
        <v>2520</v>
      </c>
      <c r="D160" s="108" t="s">
        <v>2521</v>
      </c>
      <c r="E160" t="s">
        <v>1273</v>
      </c>
      <c r="G160" s="132">
        <f t="shared" si="12"/>
        <v>46303</v>
      </c>
    </row>
    <row r="161" spans="2:7" hidden="1">
      <c r="B161" s="145" t="s">
        <v>2522</v>
      </c>
      <c r="C161" s="145" t="s">
        <v>2523</v>
      </c>
      <c r="D161" s="108" t="s">
        <v>2524</v>
      </c>
      <c r="E161" t="s">
        <v>1273</v>
      </c>
      <c r="G161" s="132">
        <f t="shared" si="12"/>
        <v>46303</v>
      </c>
    </row>
    <row r="162" spans="2:7">
      <c r="B162" s="143" t="s">
        <v>2525</v>
      </c>
      <c r="C162" s="143" t="s">
        <v>2526</v>
      </c>
      <c r="D162" s="143" t="s">
        <v>2527</v>
      </c>
      <c r="E162" t="s">
        <v>1278</v>
      </c>
    </row>
    <row r="163" spans="2:7" hidden="1">
      <c r="B163" s="145" t="s">
        <v>2528</v>
      </c>
      <c r="C163" s="145" t="s">
        <v>2529</v>
      </c>
      <c r="D163" s="145" t="s">
        <v>2530</v>
      </c>
      <c r="E163" t="s">
        <v>1273</v>
      </c>
      <c r="G163" s="132">
        <f t="shared" ref="G163:G165" si="13">DATE(2026,10,8)</f>
        <v>46303</v>
      </c>
    </row>
    <row r="164" spans="2:7" hidden="1">
      <c r="B164" s="145" t="s">
        <v>2137</v>
      </c>
      <c r="C164" s="145" t="s">
        <v>2531</v>
      </c>
      <c r="D164" s="145" t="s">
        <v>2532</v>
      </c>
      <c r="E164" t="s">
        <v>1273</v>
      </c>
      <c r="G164" s="132">
        <f t="shared" si="13"/>
        <v>46303</v>
      </c>
    </row>
    <row r="165" spans="2:7" hidden="1">
      <c r="B165" s="145" t="s">
        <v>2533</v>
      </c>
      <c r="C165" s="145" t="s">
        <v>2534</v>
      </c>
      <c r="D165" s="145" t="s">
        <v>2535</v>
      </c>
      <c r="E165" t="s">
        <v>1273</v>
      </c>
      <c r="G165" s="132">
        <f t="shared" si="13"/>
        <v>46303</v>
      </c>
    </row>
    <row r="166" spans="2:7">
      <c r="B166" s="143" t="s">
        <v>2536</v>
      </c>
      <c r="C166" s="143" t="s">
        <v>2537</v>
      </c>
      <c r="D166" s="143" t="s">
        <v>2538</v>
      </c>
      <c r="E166" t="s">
        <v>1278</v>
      </c>
    </row>
    <row r="167" spans="2:7">
      <c r="B167" s="143" t="s">
        <v>2539</v>
      </c>
      <c r="C167" s="143" t="s">
        <v>2540</v>
      </c>
      <c r="D167" s="143" t="s">
        <v>2541</v>
      </c>
      <c r="E167" t="s">
        <v>1278</v>
      </c>
    </row>
    <row r="168" spans="2:7">
      <c r="B168" s="143" t="s">
        <v>2542</v>
      </c>
      <c r="C168" s="143" t="s">
        <v>2543</v>
      </c>
      <c r="D168" s="143" t="s">
        <v>2544</v>
      </c>
      <c r="E168" t="s">
        <v>1278</v>
      </c>
    </row>
    <row r="169" spans="2:7">
      <c r="B169" s="143" t="s">
        <v>2545</v>
      </c>
      <c r="C169" s="143" t="s">
        <v>2546</v>
      </c>
      <c r="D169" s="143" t="s">
        <v>2547</v>
      </c>
      <c r="E169" t="s">
        <v>1278</v>
      </c>
    </row>
    <row r="170" spans="2:7">
      <c r="B170" s="143" t="s">
        <v>2548</v>
      </c>
      <c r="C170" s="143" t="s">
        <v>2549</v>
      </c>
      <c r="D170" s="143" t="s">
        <v>2550</v>
      </c>
      <c r="E170" t="s">
        <v>1278</v>
      </c>
    </row>
    <row r="171" spans="2:7">
      <c r="B171" s="143" t="s">
        <v>2181</v>
      </c>
      <c r="C171" s="143" t="s">
        <v>2551</v>
      </c>
      <c r="D171" s="143" t="s">
        <v>2552</v>
      </c>
      <c r="E171" t="s">
        <v>1278</v>
      </c>
    </row>
    <row r="172" spans="2:7" hidden="1">
      <c r="B172" s="171" t="s">
        <v>2553</v>
      </c>
      <c r="C172" s="171" t="s">
        <v>2554</v>
      </c>
      <c r="D172" s="171" t="s">
        <v>2555</v>
      </c>
      <c r="E172" t="s">
        <v>1558</v>
      </c>
      <c r="F172" t="s">
        <v>2128</v>
      </c>
    </row>
    <row r="173" spans="2:7">
      <c r="B173" s="143" t="s">
        <v>432</v>
      </c>
      <c r="C173" s="143" t="s">
        <v>2556</v>
      </c>
      <c r="D173" s="143" t="s">
        <v>2557</v>
      </c>
      <c r="E173" t="s">
        <v>1278</v>
      </c>
    </row>
    <row r="174" spans="2:7">
      <c r="B174" s="143" t="s">
        <v>20</v>
      </c>
      <c r="C174" s="143" t="s">
        <v>2558</v>
      </c>
      <c r="D174" s="144" t="s">
        <v>20</v>
      </c>
      <c r="E174" t="s">
        <v>1278</v>
      </c>
    </row>
    <row r="175" spans="2:7">
      <c r="B175" s="143" t="s">
        <v>2278</v>
      </c>
      <c r="C175" s="143" t="s">
        <v>2559</v>
      </c>
      <c r="D175" s="149" t="s">
        <v>2560</v>
      </c>
      <c r="E175" t="s">
        <v>1278</v>
      </c>
    </row>
    <row r="176" spans="2:7" hidden="1">
      <c r="B176" s="145" t="s">
        <v>2561</v>
      </c>
      <c r="C176" s="145" t="s">
        <v>2562</v>
      </c>
      <c r="D176" s="108" t="s">
        <v>2563</v>
      </c>
      <c r="E176" t="s">
        <v>1273</v>
      </c>
      <c r="G176" s="132">
        <f>DATE(2026,10,8)</f>
        <v>46303</v>
      </c>
    </row>
    <row r="177" spans="2:7">
      <c r="B177" s="143" t="s">
        <v>2564</v>
      </c>
      <c r="C177" s="143" t="s">
        <v>2565</v>
      </c>
      <c r="D177" s="143" t="s">
        <v>2566</v>
      </c>
      <c r="E177" t="s">
        <v>1278</v>
      </c>
    </row>
    <row r="178" spans="2:7" hidden="1">
      <c r="B178" s="150" t="s">
        <v>2567</v>
      </c>
      <c r="C178" s="150" t="s">
        <v>2568</v>
      </c>
      <c r="D178" s="133" t="s">
        <v>2569</v>
      </c>
      <c r="E178" t="s">
        <v>1273</v>
      </c>
      <c r="G178" s="132">
        <f>DATE(2026,10,8)</f>
        <v>46303</v>
      </c>
    </row>
  </sheetData>
  <hyperlinks>
    <hyperlink ref="D174" r:id="rId1" xr:uid="{D6DAA7C5-803C-4A38-BB1E-7ED52CE3BF1D}"/>
    <hyperlink ref="D2" r:id="rId2" xr:uid="{FFAF369D-3093-4F2C-ACDC-231D90C18935}"/>
    <hyperlink ref="D8" r:id="rId3" xr:uid="{F653A36E-9074-4E53-87E1-D9C462D6AACE}"/>
    <hyperlink ref="D178" r:id="rId4" xr:uid="{D6D6B331-A336-4018-B9FD-AFAC59513B33}"/>
    <hyperlink ref="D175" r:id="rId5" xr:uid="{256281D1-4744-41D5-939B-0098E7AE4BB1}"/>
    <hyperlink ref="D176" r:id="rId6" xr:uid="{514BB59C-D2E5-4039-8315-7B29166C630A}"/>
    <hyperlink ref="D161" r:id="rId7" xr:uid="{C9BB7709-0007-4D22-A71A-54BF9EB39961}"/>
    <hyperlink ref="D160" r:id="rId8" xr:uid="{F9F528D0-B0EF-423F-BF8B-8FC61932E3D1}"/>
    <hyperlink ref="D154" r:id="rId9" xr:uid="{7546C4BE-A074-43C6-A353-8CC4F6F01CFC}"/>
    <hyperlink ref="B110" r:id="rId10" xr:uid="{E628A12C-65DA-403B-A2DC-81CF8FF2A25E}"/>
  </hyperlinks>
  <pageMargins left="0.7" right="0.7" top="0.75" bottom="0.75" header="0.3" footer="0.3"/>
  <tableParts count="1"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11A384-E1FB-4489-9CCD-A57D08C0C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2026-09-25T22:15:22Z</dcterms:created>
  <dcterms:modified xsi:type="dcterms:W3CDTF">2026-10-13T15:54:46Z</dcterms:modified>
  <cp:category/>
  <cp:contentStatus/>
</cp:coreProperties>
</file>